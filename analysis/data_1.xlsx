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ER\Desktop\data-analitika\6-oy-Statistics\Exam\"/>
    </mc:Choice>
  </mc:AlternateContent>
  <xr:revisionPtr revIDLastSave="0" documentId="13_ncr:1_{DDAFF9ED-9967-40B4-827C-9B9DC8DBA946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Regression Diagnostics" sheetId="15" r:id="rId1"/>
    <sheet name="data" sheetId="1" r:id="rId2"/>
    <sheet name="Simple Regression" sheetId="5" r:id="rId3"/>
    <sheet name="Multiple Regression" sheetId="6" r:id="rId4"/>
    <sheet name="Hypothesis Testing" sheetId="8" r:id="rId5"/>
    <sheet name="Ab-Testing" sheetId="13" r:id="rId6"/>
    <sheet name="Anova" sheetId="9" r:id="rId7"/>
    <sheet name="Charts" sheetId="3" r:id="rId8"/>
    <sheet name="Monthly_Sales" sheetId="2" r:id="rId9"/>
  </sheets>
  <externalReferences>
    <externalReference r:id="rId10"/>
  </externalReferences>
  <definedNames>
    <definedName name="_xlchart.v1.0" hidden="1">data!$G$1</definedName>
    <definedName name="_xlchart.v1.1" hidden="1">data!$G$2:$G$151</definedName>
    <definedName name="_xlchart.v1.2" hidden="1">[1]Employee_Data!$G$1</definedName>
    <definedName name="_xlchart.v1.3" hidden="1">[1]Employee_Data!$G$2:$G$151</definedName>
    <definedName name="_xlchart.v1.4" hidden="1">[1]Employee_Data!$H$1</definedName>
    <definedName name="_xlchart.v1.5" hidden="1">[1]Employee_Data!$H$2:$H$151</definedName>
    <definedName name="_xlchart.v1.6" hidden="1">data!$H$1</definedName>
    <definedName name="_xlchart.v1.7" hidden="1">data!$H$2:$H$151</definedName>
    <definedName name="_xlcn.WorksheetConnection_dataK1L1511" hidden="1">data!$K$1:$L$151</definedName>
  </definedNames>
  <calcPr calcId="191029"/>
  <pivotCaches>
    <pivotCache cacheId="4" r:id="rId11"/>
    <pivotCache cacheId="8" r:id="rId12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!$K$1:$L$15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15" l="1"/>
  <c r="B63" i="15"/>
  <c r="B64" i="15"/>
  <c r="C12" i="13"/>
  <c r="D2" i="9" a="1"/>
  <c r="D2" i="9" s="1"/>
  <c r="F2" i="9" a="1"/>
  <c r="F2" i="9" s="1"/>
  <c r="E2" i="9" a="1"/>
  <c r="E2" i="9" s="1"/>
  <c r="B11" i="13"/>
  <c r="B10" i="13"/>
  <c r="B16" i="13"/>
  <c r="C15" i="13"/>
  <c r="B15" i="13"/>
  <c r="C16" i="13"/>
  <c r="B18" i="1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2BD85A-4B26-430C-8B18-CF55E8B7967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54B34AE-A92C-4940-90B2-2BC23EFC061F}" name="WorksheetConnection_data!$K$1:$L$15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K1L15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<sst xmlns="http://schemas.openxmlformats.org/spreadsheetml/2006/main" count="760" uniqueCount="145">
  <si>
    <t>Employee_ID</t>
  </si>
  <si>
    <t>Age</t>
  </si>
  <si>
    <t>Experience</t>
  </si>
  <si>
    <t>Education_Level</t>
  </si>
  <si>
    <t>Training_Hours</t>
  </si>
  <si>
    <t>Department</t>
  </si>
  <si>
    <t>Salary</t>
  </si>
  <si>
    <t>Performance_Score</t>
  </si>
  <si>
    <t>Before_Training</t>
  </si>
  <si>
    <t>After_Training</t>
  </si>
  <si>
    <t>Website_Group</t>
  </si>
  <si>
    <t>Conversion</t>
  </si>
  <si>
    <t>Sales</t>
  </si>
  <si>
    <t>A</t>
  </si>
  <si>
    <t>B</t>
  </si>
  <si>
    <t>HR</t>
  </si>
  <si>
    <t>IT</t>
  </si>
  <si>
    <t>Month</t>
  </si>
  <si>
    <t>Monthly_Sales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</si>
  <si>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</si>
  <si>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</si>
  <si>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</si>
  <si>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</si>
  <si>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</si>
  <si>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</si>
  <si>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</si>
  <si>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</si>
  <si>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</si>
  <si>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</si>
  <si>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</si>
  <si>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</si>
  <si>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</si>
  <si>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</si>
  <si>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</si>
  <si>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</si>
  <si>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</si>
  <si>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</si>
  <si>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</si>
  <si>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</si>
  <si>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</si>
  <si>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</si>
  <si>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</si>
  <si>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</si>
  <si>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</si>
  <si>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</si>
  <si>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</si>
  <si>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</si>
  <si>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</si>
  <si>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</si>
  <si>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</si>
  <si>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</si>
  <si>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</si>
  <si>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</si>
  <si>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</si>
  <si>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</si>
  <si>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</si>
  <si>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</si>
  <si>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</si>
  <si>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</si>
  <si>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</si>
  <si>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</si>
  <si>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</si>
  <si>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</si>
  <si>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</si>
  <si>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</si>
  <si>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</si>
  <si>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</si>
  <si>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</si>
  <si>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</si>
  <si>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</si>
  <si>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</si>
  <si>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</si>
  <si>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</si>
  <si>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</si>
  <si>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</si>
  <si>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</si>
  <si>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</si>
  <si>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</si>
  <si>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</si>
  <si>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Stats</t>
  </si>
  <si>
    <t>Standard Deviation</t>
  </si>
  <si>
    <t>Mean</t>
  </si>
  <si>
    <t>Median</t>
  </si>
  <si>
    <t>Sample Variance</t>
  </si>
  <si>
    <t>Minimum</t>
  </si>
  <si>
    <t>Maximum</t>
  </si>
  <si>
    <t>Skewness</t>
  </si>
  <si>
    <t>Kurtosis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</si>
  <si>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</si>
  <si>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</si>
  <si>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</si>
  <si>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</si>
  <si>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</si>
  <si>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</si>
  <si>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</si>
  <si>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</si>
  <si>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</si>
  <si>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</si>
  <si>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</si>
  <si>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</si>
  <si>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</si>
  <si>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</si>
  <si>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</si>
  <si>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</si>
  <si>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</si>
  <si>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</si>
  <si>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</si>
  <si>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</si>
  <si>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</si>
  <si>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</si>
  <si>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</si>
  <si>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</si>
  <si>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</si>
  <si>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</si>
  <si>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Salary</t>
  </si>
  <si>
    <t>Residuals</t>
  </si>
  <si>
    <t>t-Test: Paired Two Sample for Means</t>
  </si>
  <si>
    <t>Variance</t>
  </si>
  <si>
    <t>Pearson Correlation</t>
  </si>
  <si>
    <t>Hypothesized Mean Difference</t>
  </si>
  <si>
    <t>P(T&lt;=t) one-tail</t>
  </si>
  <si>
    <t>t Critical one-tail</t>
  </si>
  <si>
    <t>P(T&lt;=t) two-tail</t>
  </si>
  <si>
    <t>t Critical two-tail</t>
  </si>
  <si>
    <t>Anova: Single Factor</t>
  </si>
  <si>
    <t>SUMMARY</t>
  </si>
  <si>
    <t>Groups</t>
  </si>
  <si>
    <t>Count</t>
  </si>
  <si>
    <t>Sum</t>
  </si>
  <si>
    <t>Average</t>
  </si>
  <si>
    <t>Source of Variation</t>
  </si>
  <si>
    <t>F crit</t>
  </si>
  <si>
    <t>Between Groups</t>
  </si>
  <si>
    <t>Within Groups</t>
  </si>
  <si>
    <t>Row Labels</t>
  </si>
  <si>
    <t>Grand Total</t>
  </si>
  <si>
    <t>Sum of Conversion</t>
  </si>
  <si>
    <t>Count of Conversion</t>
  </si>
  <si>
    <t>Column Labels</t>
  </si>
  <si>
    <t>Conversion Rate</t>
  </si>
  <si>
    <t>Difference</t>
  </si>
  <si>
    <t>Expected</t>
  </si>
  <si>
    <t>Chi-Square Test</t>
  </si>
  <si>
    <t>VIF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</si>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</sst>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sz val="9"/>
      <color theme="1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Continuous"/>
    </xf>
    <xf numFmtId="0" fontId="0" fillId="0" borderId="2" xfId="0" applyBorder="1"/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Experience</a:t>
            </a:r>
            <a:r>
              <a:rPr lang="en-US" baseline="0"/>
              <a:t>-Salary </a:t>
            </a:r>
            <a:r>
              <a:rPr lang="en-US"/>
              <a:t>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Salary</c:v>
          </c:tx>
          <c:spPr>
            <a:ln w="28575">
              <a:noFill/>
            </a:ln>
          </c:spPr>
          <c:xVal>
            <c:numRef>
              <c:f>data!$D$2:$D$151</c:f>
              <c:numCache>
                <c:formatCode>General</c:formatCode>
                <c:ptCount val="150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19</c:v>
                </c:pt>
                <c:pt idx="4">
                  <c:v>18</c:v>
                </c:pt>
                <c:pt idx="5">
                  <c:v>5</c:v>
                </c:pt>
                <c:pt idx="6">
                  <c:v>8</c:v>
                </c:pt>
                <c:pt idx="7">
                  <c:v>20</c:v>
                </c:pt>
                <c:pt idx="8">
                  <c:v>18</c:v>
                </c:pt>
                <c:pt idx="9">
                  <c:v>19</c:v>
                </c:pt>
                <c:pt idx="10">
                  <c:v>3</c:v>
                </c:pt>
                <c:pt idx="11">
                  <c:v>12</c:v>
                </c:pt>
                <c:pt idx="12">
                  <c:v>7</c:v>
                </c:pt>
                <c:pt idx="13">
                  <c:v>30</c:v>
                </c:pt>
                <c:pt idx="14">
                  <c:v>28</c:v>
                </c:pt>
                <c:pt idx="15">
                  <c:v>1</c:v>
                </c:pt>
                <c:pt idx="16">
                  <c:v>25</c:v>
                </c:pt>
                <c:pt idx="17">
                  <c:v>0</c:v>
                </c:pt>
                <c:pt idx="18">
                  <c:v>14</c:v>
                </c:pt>
                <c:pt idx="19">
                  <c:v>30</c:v>
                </c:pt>
                <c:pt idx="20">
                  <c:v>31</c:v>
                </c:pt>
                <c:pt idx="21">
                  <c:v>10</c:v>
                </c:pt>
                <c:pt idx="22">
                  <c:v>2</c:v>
                </c:pt>
                <c:pt idx="23">
                  <c:v>14</c:v>
                </c:pt>
                <c:pt idx="24">
                  <c:v>5</c:v>
                </c:pt>
                <c:pt idx="25">
                  <c:v>19</c:v>
                </c:pt>
                <c:pt idx="26">
                  <c:v>10</c:v>
                </c:pt>
                <c:pt idx="27">
                  <c:v>4</c:v>
                </c:pt>
                <c:pt idx="28">
                  <c:v>18</c:v>
                </c:pt>
                <c:pt idx="29">
                  <c:v>17</c:v>
                </c:pt>
                <c:pt idx="30">
                  <c:v>25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12</c:v>
                </c:pt>
                <c:pt idx="35">
                  <c:v>12</c:v>
                </c:pt>
                <c:pt idx="36">
                  <c:v>0</c:v>
                </c:pt>
                <c:pt idx="37">
                  <c:v>10</c:v>
                </c:pt>
                <c:pt idx="38">
                  <c:v>0</c:v>
                </c:pt>
                <c:pt idx="39">
                  <c:v>0</c:v>
                </c:pt>
                <c:pt idx="40">
                  <c:v>20</c:v>
                </c:pt>
                <c:pt idx="41">
                  <c:v>16</c:v>
                </c:pt>
                <c:pt idx="42">
                  <c:v>1</c:v>
                </c:pt>
                <c:pt idx="43">
                  <c:v>13</c:v>
                </c:pt>
                <c:pt idx="44">
                  <c:v>17</c:v>
                </c:pt>
                <c:pt idx="45">
                  <c:v>23</c:v>
                </c:pt>
                <c:pt idx="46">
                  <c:v>5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19</c:v>
                </c:pt>
                <c:pt idx="51">
                  <c:v>26</c:v>
                </c:pt>
                <c:pt idx="52">
                  <c:v>30</c:v>
                </c:pt>
                <c:pt idx="53">
                  <c:v>24</c:v>
                </c:pt>
                <c:pt idx="54">
                  <c:v>17</c:v>
                </c:pt>
                <c:pt idx="55">
                  <c:v>0</c:v>
                </c:pt>
                <c:pt idx="56">
                  <c:v>21</c:v>
                </c:pt>
                <c:pt idx="57">
                  <c:v>3</c:v>
                </c:pt>
                <c:pt idx="58">
                  <c:v>8</c:v>
                </c:pt>
                <c:pt idx="59">
                  <c:v>10</c:v>
                </c:pt>
                <c:pt idx="60">
                  <c:v>19</c:v>
                </c:pt>
                <c:pt idx="61">
                  <c:v>9</c:v>
                </c:pt>
                <c:pt idx="62">
                  <c:v>1</c:v>
                </c:pt>
                <c:pt idx="63">
                  <c:v>2</c:v>
                </c:pt>
                <c:pt idx="64">
                  <c:v>4</c:v>
                </c:pt>
                <c:pt idx="65">
                  <c:v>31</c:v>
                </c:pt>
                <c:pt idx="66">
                  <c:v>1</c:v>
                </c:pt>
                <c:pt idx="67">
                  <c:v>10</c:v>
                </c:pt>
                <c:pt idx="68">
                  <c:v>10</c:v>
                </c:pt>
                <c:pt idx="69">
                  <c:v>28</c:v>
                </c:pt>
                <c:pt idx="70">
                  <c:v>17</c:v>
                </c:pt>
                <c:pt idx="71">
                  <c:v>13</c:v>
                </c:pt>
                <c:pt idx="72">
                  <c:v>10</c:v>
                </c:pt>
                <c:pt idx="73">
                  <c:v>34</c:v>
                </c:pt>
                <c:pt idx="74">
                  <c:v>22</c:v>
                </c:pt>
                <c:pt idx="75">
                  <c:v>3</c:v>
                </c:pt>
                <c:pt idx="76">
                  <c:v>20</c:v>
                </c:pt>
                <c:pt idx="77">
                  <c:v>7</c:v>
                </c:pt>
                <c:pt idx="78">
                  <c:v>11</c:v>
                </c:pt>
                <c:pt idx="79">
                  <c:v>15</c:v>
                </c:pt>
                <c:pt idx="80">
                  <c:v>18</c:v>
                </c:pt>
                <c:pt idx="81">
                  <c:v>18</c:v>
                </c:pt>
                <c:pt idx="82">
                  <c:v>18</c:v>
                </c:pt>
                <c:pt idx="83">
                  <c:v>1</c:v>
                </c:pt>
                <c:pt idx="84">
                  <c:v>16</c:v>
                </c:pt>
                <c:pt idx="85">
                  <c:v>13</c:v>
                </c:pt>
                <c:pt idx="86">
                  <c:v>12</c:v>
                </c:pt>
                <c:pt idx="87">
                  <c:v>29</c:v>
                </c:pt>
                <c:pt idx="88">
                  <c:v>8</c:v>
                </c:pt>
                <c:pt idx="89">
                  <c:v>1</c:v>
                </c:pt>
                <c:pt idx="90">
                  <c:v>6</c:v>
                </c:pt>
                <c:pt idx="91">
                  <c:v>1</c:v>
                </c:pt>
                <c:pt idx="92">
                  <c:v>16</c:v>
                </c:pt>
                <c:pt idx="93">
                  <c:v>1</c:v>
                </c:pt>
                <c:pt idx="94">
                  <c:v>9</c:v>
                </c:pt>
                <c:pt idx="95">
                  <c:v>3</c:v>
                </c:pt>
                <c:pt idx="96">
                  <c:v>18</c:v>
                </c:pt>
                <c:pt idx="97">
                  <c:v>12</c:v>
                </c:pt>
                <c:pt idx="98">
                  <c:v>0</c:v>
                </c:pt>
                <c:pt idx="99">
                  <c:v>11</c:v>
                </c:pt>
                <c:pt idx="100">
                  <c:v>7</c:v>
                </c:pt>
                <c:pt idx="101">
                  <c:v>0</c:v>
                </c:pt>
                <c:pt idx="102">
                  <c:v>2</c:v>
                </c:pt>
                <c:pt idx="103">
                  <c:v>10</c:v>
                </c:pt>
                <c:pt idx="104">
                  <c:v>28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5</c:v>
                </c:pt>
                <c:pt idx="109">
                  <c:v>9</c:v>
                </c:pt>
                <c:pt idx="110">
                  <c:v>11</c:v>
                </c:pt>
                <c:pt idx="111">
                  <c:v>1</c:v>
                </c:pt>
                <c:pt idx="112">
                  <c:v>20</c:v>
                </c:pt>
                <c:pt idx="113">
                  <c:v>9</c:v>
                </c:pt>
                <c:pt idx="114">
                  <c:v>16</c:v>
                </c:pt>
                <c:pt idx="115">
                  <c:v>33</c:v>
                </c:pt>
                <c:pt idx="116">
                  <c:v>4</c:v>
                </c:pt>
                <c:pt idx="117">
                  <c:v>2</c:v>
                </c:pt>
                <c:pt idx="118">
                  <c:v>5</c:v>
                </c:pt>
                <c:pt idx="119">
                  <c:v>33</c:v>
                </c:pt>
                <c:pt idx="120">
                  <c:v>1</c:v>
                </c:pt>
                <c:pt idx="121">
                  <c:v>28</c:v>
                </c:pt>
                <c:pt idx="122">
                  <c:v>12</c:v>
                </c:pt>
                <c:pt idx="123">
                  <c:v>4</c:v>
                </c:pt>
                <c:pt idx="124">
                  <c:v>23</c:v>
                </c:pt>
                <c:pt idx="125">
                  <c:v>15</c:v>
                </c:pt>
                <c:pt idx="126">
                  <c:v>33</c:v>
                </c:pt>
                <c:pt idx="127">
                  <c:v>1</c:v>
                </c:pt>
                <c:pt idx="128">
                  <c:v>10</c:v>
                </c:pt>
                <c:pt idx="129">
                  <c:v>1</c:v>
                </c:pt>
                <c:pt idx="130">
                  <c:v>4</c:v>
                </c:pt>
                <c:pt idx="131">
                  <c:v>1</c:v>
                </c:pt>
                <c:pt idx="132">
                  <c:v>4</c:v>
                </c:pt>
                <c:pt idx="133">
                  <c:v>10</c:v>
                </c:pt>
                <c:pt idx="134">
                  <c:v>8</c:v>
                </c:pt>
                <c:pt idx="135">
                  <c:v>11</c:v>
                </c:pt>
                <c:pt idx="136">
                  <c:v>0</c:v>
                </c:pt>
                <c:pt idx="137">
                  <c:v>2</c:v>
                </c:pt>
                <c:pt idx="138">
                  <c:v>7</c:v>
                </c:pt>
                <c:pt idx="139">
                  <c:v>9</c:v>
                </c:pt>
                <c:pt idx="140">
                  <c:v>11</c:v>
                </c:pt>
                <c:pt idx="141">
                  <c:v>12</c:v>
                </c:pt>
                <c:pt idx="142">
                  <c:v>0</c:v>
                </c:pt>
                <c:pt idx="143">
                  <c:v>3</c:v>
                </c:pt>
                <c:pt idx="144">
                  <c:v>9</c:v>
                </c:pt>
                <c:pt idx="145">
                  <c:v>17</c:v>
                </c:pt>
                <c:pt idx="146">
                  <c:v>2</c:v>
                </c:pt>
                <c:pt idx="147">
                  <c:v>18</c:v>
                </c:pt>
                <c:pt idx="148">
                  <c:v>6</c:v>
                </c:pt>
                <c:pt idx="149">
                  <c:v>3</c:v>
                </c:pt>
              </c:numCache>
            </c:numRef>
          </c:xVal>
          <c:yVal>
            <c:numRef>
              <c:f>data!$G$2:$G$151</c:f>
              <c:numCache>
                <c:formatCode>General</c:formatCode>
                <c:ptCount val="150"/>
                <c:pt idx="0">
                  <c:v>3781</c:v>
                </c:pt>
                <c:pt idx="1">
                  <c:v>4015</c:v>
                </c:pt>
                <c:pt idx="2">
                  <c:v>3250</c:v>
                </c:pt>
                <c:pt idx="3">
                  <c:v>6317</c:v>
                </c:pt>
                <c:pt idx="4">
                  <c:v>4866</c:v>
                </c:pt>
                <c:pt idx="5">
                  <c:v>3481</c:v>
                </c:pt>
                <c:pt idx="6">
                  <c:v>5542</c:v>
                </c:pt>
                <c:pt idx="7">
                  <c:v>6013</c:v>
                </c:pt>
                <c:pt idx="8">
                  <c:v>5721</c:v>
                </c:pt>
                <c:pt idx="9">
                  <c:v>5907</c:v>
                </c:pt>
                <c:pt idx="10">
                  <c:v>3105</c:v>
                </c:pt>
                <c:pt idx="11">
                  <c:v>4491</c:v>
                </c:pt>
                <c:pt idx="12">
                  <c:v>4257</c:v>
                </c:pt>
                <c:pt idx="13">
                  <c:v>8148</c:v>
                </c:pt>
                <c:pt idx="14">
                  <c:v>6735</c:v>
                </c:pt>
                <c:pt idx="15">
                  <c:v>2318</c:v>
                </c:pt>
                <c:pt idx="16">
                  <c:v>6922</c:v>
                </c:pt>
                <c:pt idx="17">
                  <c:v>2568</c:v>
                </c:pt>
                <c:pt idx="18">
                  <c:v>4710</c:v>
                </c:pt>
                <c:pt idx="19">
                  <c:v>7101</c:v>
                </c:pt>
                <c:pt idx="20">
                  <c:v>6692</c:v>
                </c:pt>
                <c:pt idx="21">
                  <c:v>4308</c:v>
                </c:pt>
                <c:pt idx="22">
                  <c:v>3119</c:v>
                </c:pt>
                <c:pt idx="23">
                  <c:v>5233</c:v>
                </c:pt>
                <c:pt idx="24">
                  <c:v>3076</c:v>
                </c:pt>
                <c:pt idx="25">
                  <c:v>6663</c:v>
                </c:pt>
                <c:pt idx="26">
                  <c:v>5438</c:v>
                </c:pt>
                <c:pt idx="27">
                  <c:v>2967</c:v>
                </c:pt>
                <c:pt idx="28">
                  <c:v>4980</c:v>
                </c:pt>
                <c:pt idx="29">
                  <c:v>5762</c:v>
                </c:pt>
                <c:pt idx="30">
                  <c:v>7488</c:v>
                </c:pt>
                <c:pt idx="31">
                  <c:v>4221</c:v>
                </c:pt>
                <c:pt idx="32">
                  <c:v>5259</c:v>
                </c:pt>
                <c:pt idx="33">
                  <c:v>5664</c:v>
                </c:pt>
                <c:pt idx="34">
                  <c:v>5407</c:v>
                </c:pt>
                <c:pt idx="35">
                  <c:v>5892</c:v>
                </c:pt>
                <c:pt idx="36">
                  <c:v>2257</c:v>
                </c:pt>
                <c:pt idx="37">
                  <c:v>4526</c:v>
                </c:pt>
                <c:pt idx="38">
                  <c:v>3573</c:v>
                </c:pt>
                <c:pt idx="39">
                  <c:v>3194</c:v>
                </c:pt>
                <c:pt idx="40">
                  <c:v>8045</c:v>
                </c:pt>
                <c:pt idx="41">
                  <c:v>5645</c:v>
                </c:pt>
                <c:pt idx="42">
                  <c:v>1939</c:v>
                </c:pt>
                <c:pt idx="43">
                  <c:v>5768</c:v>
                </c:pt>
                <c:pt idx="44">
                  <c:v>7467</c:v>
                </c:pt>
                <c:pt idx="45">
                  <c:v>6470</c:v>
                </c:pt>
                <c:pt idx="46">
                  <c:v>3245</c:v>
                </c:pt>
                <c:pt idx="47">
                  <c:v>3214</c:v>
                </c:pt>
                <c:pt idx="48">
                  <c:v>3339</c:v>
                </c:pt>
                <c:pt idx="49">
                  <c:v>3599</c:v>
                </c:pt>
                <c:pt idx="50">
                  <c:v>6516</c:v>
                </c:pt>
                <c:pt idx="51">
                  <c:v>7095</c:v>
                </c:pt>
                <c:pt idx="52">
                  <c:v>8603</c:v>
                </c:pt>
                <c:pt idx="53">
                  <c:v>7085</c:v>
                </c:pt>
                <c:pt idx="54">
                  <c:v>5082</c:v>
                </c:pt>
                <c:pt idx="55">
                  <c:v>2330</c:v>
                </c:pt>
                <c:pt idx="56">
                  <c:v>5720</c:v>
                </c:pt>
                <c:pt idx="57">
                  <c:v>2688</c:v>
                </c:pt>
                <c:pt idx="58">
                  <c:v>4366</c:v>
                </c:pt>
                <c:pt idx="59">
                  <c:v>4370</c:v>
                </c:pt>
                <c:pt idx="60">
                  <c:v>6214</c:v>
                </c:pt>
                <c:pt idx="61">
                  <c:v>4548</c:v>
                </c:pt>
                <c:pt idx="62">
                  <c:v>2263</c:v>
                </c:pt>
                <c:pt idx="63">
                  <c:v>3841</c:v>
                </c:pt>
                <c:pt idx="64">
                  <c:v>4267</c:v>
                </c:pt>
                <c:pt idx="65">
                  <c:v>7771</c:v>
                </c:pt>
                <c:pt idx="66">
                  <c:v>3422</c:v>
                </c:pt>
                <c:pt idx="67">
                  <c:v>5514</c:v>
                </c:pt>
                <c:pt idx="68">
                  <c:v>4407</c:v>
                </c:pt>
                <c:pt idx="69">
                  <c:v>6862</c:v>
                </c:pt>
                <c:pt idx="70">
                  <c:v>4692</c:v>
                </c:pt>
                <c:pt idx="71">
                  <c:v>4958</c:v>
                </c:pt>
                <c:pt idx="72">
                  <c:v>5106</c:v>
                </c:pt>
                <c:pt idx="73">
                  <c:v>9356</c:v>
                </c:pt>
                <c:pt idx="74">
                  <c:v>7160</c:v>
                </c:pt>
                <c:pt idx="75">
                  <c:v>3622</c:v>
                </c:pt>
                <c:pt idx="76">
                  <c:v>7108</c:v>
                </c:pt>
                <c:pt idx="77">
                  <c:v>4077</c:v>
                </c:pt>
                <c:pt idx="78">
                  <c:v>4395</c:v>
                </c:pt>
                <c:pt idx="79">
                  <c:v>5297</c:v>
                </c:pt>
                <c:pt idx="80">
                  <c:v>5628</c:v>
                </c:pt>
                <c:pt idx="81">
                  <c:v>5615</c:v>
                </c:pt>
                <c:pt idx="82">
                  <c:v>5124</c:v>
                </c:pt>
                <c:pt idx="83">
                  <c:v>3654</c:v>
                </c:pt>
                <c:pt idx="84">
                  <c:v>5803</c:v>
                </c:pt>
                <c:pt idx="85">
                  <c:v>6397</c:v>
                </c:pt>
                <c:pt idx="86">
                  <c:v>5567</c:v>
                </c:pt>
                <c:pt idx="87">
                  <c:v>8183</c:v>
                </c:pt>
                <c:pt idx="88">
                  <c:v>4765</c:v>
                </c:pt>
                <c:pt idx="89">
                  <c:v>4331</c:v>
                </c:pt>
                <c:pt idx="90">
                  <c:v>3459</c:v>
                </c:pt>
                <c:pt idx="91">
                  <c:v>3422</c:v>
                </c:pt>
                <c:pt idx="92">
                  <c:v>5355</c:v>
                </c:pt>
                <c:pt idx="93">
                  <c:v>2586</c:v>
                </c:pt>
                <c:pt idx="94">
                  <c:v>4412</c:v>
                </c:pt>
                <c:pt idx="95">
                  <c:v>3965</c:v>
                </c:pt>
                <c:pt idx="96">
                  <c:v>6514</c:v>
                </c:pt>
                <c:pt idx="97">
                  <c:v>5478</c:v>
                </c:pt>
                <c:pt idx="98">
                  <c:v>3616</c:v>
                </c:pt>
                <c:pt idx="99">
                  <c:v>5520</c:v>
                </c:pt>
                <c:pt idx="100">
                  <c:v>4356</c:v>
                </c:pt>
                <c:pt idx="101">
                  <c:v>3169</c:v>
                </c:pt>
                <c:pt idx="102">
                  <c:v>3374</c:v>
                </c:pt>
                <c:pt idx="103">
                  <c:v>4612</c:v>
                </c:pt>
                <c:pt idx="104">
                  <c:v>8002</c:v>
                </c:pt>
                <c:pt idx="105">
                  <c:v>2928</c:v>
                </c:pt>
                <c:pt idx="106">
                  <c:v>3043</c:v>
                </c:pt>
                <c:pt idx="107">
                  <c:v>2917</c:v>
                </c:pt>
                <c:pt idx="108">
                  <c:v>4790</c:v>
                </c:pt>
                <c:pt idx="109">
                  <c:v>5331</c:v>
                </c:pt>
                <c:pt idx="110">
                  <c:v>5269</c:v>
                </c:pt>
                <c:pt idx="111">
                  <c:v>4130</c:v>
                </c:pt>
                <c:pt idx="112">
                  <c:v>5799</c:v>
                </c:pt>
                <c:pt idx="113">
                  <c:v>4890</c:v>
                </c:pt>
                <c:pt idx="114">
                  <c:v>4826</c:v>
                </c:pt>
                <c:pt idx="115">
                  <c:v>8022</c:v>
                </c:pt>
                <c:pt idx="116">
                  <c:v>3640</c:v>
                </c:pt>
                <c:pt idx="117">
                  <c:v>3989</c:v>
                </c:pt>
                <c:pt idx="118">
                  <c:v>2865</c:v>
                </c:pt>
                <c:pt idx="119">
                  <c:v>8619</c:v>
                </c:pt>
                <c:pt idx="120">
                  <c:v>3344</c:v>
                </c:pt>
                <c:pt idx="121">
                  <c:v>8716</c:v>
                </c:pt>
                <c:pt idx="122">
                  <c:v>4710</c:v>
                </c:pt>
                <c:pt idx="123">
                  <c:v>3844</c:v>
                </c:pt>
                <c:pt idx="124">
                  <c:v>6169</c:v>
                </c:pt>
                <c:pt idx="125">
                  <c:v>6468</c:v>
                </c:pt>
                <c:pt idx="126">
                  <c:v>7358</c:v>
                </c:pt>
                <c:pt idx="127">
                  <c:v>4668</c:v>
                </c:pt>
                <c:pt idx="128">
                  <c:v>5595</c:v>
                </c:pt>
                <c:pt idx="129">
                  <c:v>3346</c:v>
                </c:pt>
                <c:pt idx="130">
                  <c:v>3872</c:v>
                </c:pt>
                <c:pt idx="131">
                  <c:v>2897</c:v>
                </c:pt>
                <c:pt idx="132">
                  <c:v>3355</c:v>
                </c:pt>
                <c:pt idx="133">
                  <c:v>4969</c:v>
                </c:pt>
                <c:pt idx="134">
                  <c:v>3732</c:v>
                </c:pt>
                <c:pt idx="135">
                  <c:v>5922</c:v>
                </c:pt>
                <c:pt idx="136">
                  <c:v>2989</c:v>
                </c:pt>
                <c:pt idx="137">
                  <c:v>4485</c:v>
                </c:pt>
                <c:pt idx="138">
                  <c:v>4268</c:v>
                </c:pt>
                <c:pt idx="139">
                  <c:v>3188</c:v>
                </c:pt>
                <c:pt idx="140">
                  <c:v>5837</c:v>
                </c:pt>
                <c:pt idx="141">
                  <c:v>4144</c:v>
                </c:pt>
                <c:pt idx="142">
                  <c:v>3267</c:v>
                </c:pt>
                <c:pt idx="143">
                  <c:v>3792</c:v>
                </c:pt>
                <c:pt idx="144">
                  <c:v>4356</c:v>
                </c:pt>
                <c:pt idx="145">
                  <c:v>5159</c:v>
                </c:pt>
                <c:pt idx="146">
                  <c:v>3245</c:v>
                </c:pt>
                <c:pt idx="147">
                  <c:v>6694</c:v>
                </c:pt>
                <c:pt idx="148">
                  <c:v>4080</c:v>
                </c:pt>
                <c:pt idx="149">
                  <c:v>2999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0C-4AC5-9DCB-E744AA07456F}"/>
            </c:ext>
          </c:extLst>
        </c:ser>
        <c:ser>
          <c:idx val="1"/>
          <c:order val="1"/>
          <c:tx>
            <c:v>Predicted Salary</c:v>
          </c:tx>
          <c:spPr>
            <a:ln w="28575">
              <a:noFill/>
            </a:ln>
          </c:spPr>
          <c:xVal>
            <c:numRef>
              <c:f>data!$D$2:$D$151</c:f>
              <c:numCache>
                <c:formatCode>General</c:formatCode>
                <c:ptCount val="150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19</c:v>
                </c:pt>
                <c:pt idx="4">
                  <c:v>18</c:v>
                </c:pt>
                <c:pt idx="5">
                  <c:v>5</c:v>
                </c:pt>
                <c:pt idx="6">
                  <c:v>8</c:v>
                </c:pt>
                <c:pt idx="7">
                  <c:v>20</c:v>
                </c:pt>
                <c:pt idx="8">
                  <c:v>18</c:v>
                </c:pt>
                <c:pt idx="9">
                  <c:v>19</c:v>
                </c:pt>
                <c:pt idx="10">
                  <c:v>3</c:v>
                </c:pt>
                <c:pt idx="11">
                  <c:v>12</c:v>
                </c:pt>
                <c:pt idx="12">
                  <c:v>7</c:v>
                </c:pt>
                <c:pt idx="13">
                  <c:v>30</c:v>
                </c:pt>
                <c:pt idx="14">
                  <c:v>28</c:v>
                </c:pt>
                <c:pt idx="15">
                  <c:v>1</c:v>
                </c:pt>
                <c:pt idx="16">
                  <c:v>25</c:v>
                </c:pt>
                <c:pt idx="17">
                  <c:v>0</c:v>
                </c:pt>
                <c:pt idx="18">
                  <c:v>14</c:v>
                </c:pt>
                <c:pt idx="19">
                  <c:v>30</c:v>
                </c:pt>
                <c:pt idx="20">
                  <c:v>31</c:v>
                </c:pt>
                <c:pt idx="21">
                  <c:v>10</c:v>
                </c:pt>
                <c:pt idx="22">
                  <c:v>2</c:v>
                </c:pt>
                <c:pt idx="23">
                  <c:v>14</c:v>
                </c:pt>
                <c:pt idx="24">
                  <c:v>5</c:v>
                </c:pt>
                <c:pt idx="25">
                  <c:v>19</c:v>
                </c:pt>
                <c:pt idx="26">
                  <c:v>10</c:v>
                </c:pt>
                <c:pt idx="27">
                  <c:v>4</c:v>
                </c:pt>
                <c:pt idx="28">
                  <c:v>18</c:v>
                </c:pt>
                <c:pt idx="29">
                  <c:v>17</c:v>
                </c:pt>
                <c:pt idx="30">
                  <c:v>25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12</c:v>
                </c:pt>
                <c:pt idx="35">
                  <c:v>12</c:v>
                </c:pt>
                <c:pt idx="36">
                  <c:v>0</c:v>
                </c:pt>
                <c:pt idx="37">
                  <c:v>10</c:v>
                </c:pt>
                <c:pt idx="38">
                  <c:v>0</c:v>
                </c:pt>
                <c:pt idx="39">
                  <c:v>0</c:v>
                </c:pt>
                <c:pt idx="40">
                  <c:v>20</c:v>
                </c:pt>
                <c:pt idx="41">
                  <c:v>16</c:v>
                </c:pt>
                <c:pt idx="42">
                  <c:v>1</c:v>
                </c:pt>
                <c:pt idx="43">
                  <c:v>13</c:v>
                </c:pt>
                <c:pt idx="44">
                  <c:v>17</c:v>
                </c:pt>
                <c:pt idx="45">
                  <c:v>23</c:v>
                </c:pt>
                <c:pt idx="46">
                  <c:v>5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19</c:v>
                </c:pt>
                <c:pt idx="51">
                  <c:v>26</c:v>
                </c:pt>
                <c:pt idx="52">
                  <c:v>30</c:v>
                </c:pt>
                <c:pt idx="53">
                  <c:v>24</c:v>
                </c:pt>
                <c:pt idx="54">
                  <c:v>17</c:v>
                </c:pt>
                <c:pt idx="55">
                  <c:v>0</c:v>
                </c:pt>
                <c:pt idx="56">
                  <c:v>21</c:v>
                </c:pt>
                <c:pt idx="57">
                  <c:v>3</c:v>
                </c:pt>
                <c:pt idx="58">
                  <c:v>8</c:v>
                </c:pt>
                <c:pt idx="59">
                  <c:v>10</c:v>
                </c:pt>
                <c:pt idx="60">
                  <c:v>19</c:v>
                </c:pt>
                <c:pt idx="61">
                  <c:v>9</c:v>
                </c:pt>
                <c:pt idx="62">
                  <c:v>1</c:v>
                </c:pt>
                <c:pt idx="63">
                  <c:v>2</c:v>
                </c:pt>
                <c:pt idx="64">
                  <c:v>4</c:v>
                </c:pt>
                <c:pt idx="65">
                  <c:v>31</c:v>
                </c:pt>
                <c:pt idx="66">
                  <c:v>1</c:v>
                </c:pt>
                <c:pt idx="67">
                  <c:v>10</c:v>
                </c:pt>
                <c:pt idx="68">
                  <c:v>10</c:v>
                </c:pt>
                <c:pt idx="69">
                  <c:v>28</c:v>
                </c:pt>
                <c:pt idx="70">
                  <c:v>17</c:v>
                </c:pt>
                <c:pt idx="71">
                  <c:v>13</c:v>
                </c:pt>
                <c:pt idx="72">
                  <c:v>10</c:v>
                </c:pt>
                <c:pt idx="73">
                  <c:v>34</c:v>
                </c:pt>
                <c:pt idx="74">
                  <c:v>22</c:v>
                </c:pt>
                <c:pt idx="75">
                  <c:v>3</c:v>
                </c:pt>
                <c:pt idx="76">
                  <c:v>20</c:v>
                </c:pt>
                <c:pt idx="77">
                  <c:v>7</c:v>
                </c:pt>
                <c:pt idx="78">
                  <c:v>11</c:v>
                </c:pt>
                <c:pt idx="79">
                  <c:v>15</c:v>
                </c:pt>
                <c:pt idx="80">
                  <c:v>18</c:v>
                </c:pt>
                <c:pt idx="81">
                  <c:v>18</c:v>
                </c:pt>
                <c:pt idx="82">
                  <c:v>18</c:v>
                </c:pt>
                <c:pt idx="83">
                  <c:v>1</c:v>
                </c:pt>
                <c:pt idx="84">
                  <c:v>16</c:v>
                </c:pt>
                <c:pt idx="85">
                  <c:v>13</c:v>
                </c:pt>
                <c:pt idx="86">
                  <c:v>12</c:v>
                </c:pt>
                <c:pt idx="87">
                  <c:v>29</c:v>
                </c:pt>
                <c:pt idx="88">
                  <c:v>8</c:v>
                </c:pt>
                <c:pt idx="89">
                  <c:v>1</c:v>
                </c:pt>
                <c:pt idx="90">
                  <c:v>6</c:v>
                </c:pt>
                <c:pt idx="91">
                  <c:v>1</c:v>
                </c:pt>
                <c:pt idx="92">
                  <c:v>16</c:v>
                </c:pt>
                <c:pt idx="93">
                  <c:v>1</c:v>
                </c:pt>
                <c:pt idx="94">
                  <c:v>9</c:v>
                </c:pt>
                <c:pt idx="95">
                  <c:v>3</c:v>
                </c:pt>
                <c:pt idx="96">
                  <c:v>18</c:v>
                </c:pt>
                <c:pt idx="97">
                  <c:v>12</c:v>
                </c:pt>
                <c:pt idx="98">
                  <c:v>0</c:v>
                </c:pt>
                <c:pt idx="99">
                  <c:v>11</c:v>
                </c:pt>
                <c:pt idx="100">
                  <c:v>7</c:v>
                </c:pt>
                <c:pt idx="101">
                  <c:v>0</c:v>
                </c:pt>
                <c:pt idx="102">
                  <c:v>2</c:v>
                </c:pt>
                <c:pt idx="103">
                  <c:v>10</c:v>
                </c:pt>
                <c:pt idx="104">
                  <c:v>28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5</c:v>
                </c:pt>
                <c:pt idx="109">
                  <c:v>9</c:v>
                </c:pt>
                <c:pt idx="110">
                  <c:v>11</c:v>
                </c:pt>
                <c:pt idx="111">
                  <c:v>1</c:v>
                </c:pt>
                <c:pt idx="112">
                  <c:v>20</c:v>
                </c:pt>
                <c:pt idx="113">
                  <c:v>9</c:v>
                </c:pt>
                <c:pt idx="114">
                  <c:v>16</c:v>
                </c:pt>
                <c:pt idx="115">
                  <c:v>33</c:v>
                </c:pt>
                <c:pt idx="116">
                  <c:v>4</c:v>
                </c:pt>
                <c:pt idx="117">
                  <c:v>2</c:v>
                </c:pt>
                <c:pt idx="118">
                  <c:v>5</c:v>
                </c:pt>
                <c:pt idx="119">
                  <c:v>33</c:v>
                </c:pt>
                <c:pt idx="120">
                  <c:v>1</c:v>
                </c:pt>
                <c:pt idx="121">
                  <c:v>28</c:v>
                </c:pt>
                <c:pt idx="122">
                  <c:v>12</c:v>
                </c:pt>
                <c:pt idx="123">
                  <c:v>4</c:v>
                </c:pt>
                <c:pt idx="124">
                  <c:v>23</c:v>
                </c:pt>
                <c:pt idx="125">
                  <c:v>15</c:v>
                </c:pt>
                <c:pt idx="126">
                  <c:v>33</c:v>
                </c:pt>
                <c:pt idx="127">
                  <c:v>1</c:v>
                </c:pt>
                <c:pt idx="128">
                  <c:v>10</c:v>
                </c:pt>
                <c:pt idx="129">
                  <c:v>1</c:v>
                </c:pt>
                <c:pt idx="130">
                  <c:v>4</c:v>
                </c:pt>
                <c:pt idx="131">
                  <c:v>1</c:v>
                </c:pt>
                <c:pt idx="132">
                  <c:v>4</c:v>
                </c:pt>
                <c:pt idx="133">
                  <c:v>10</c:v>
                </c:pt>
                <c:pt idx="134">
                  <c:v>8</c:v>
                </c:pt>
                <c:pt idx="135">
                  <c:v>11</c:v>
                </c:pt>
                <c:pt idx="136">
                  <c:v>0</c:v>
                </c:pt>
                <c:pt idx="137">
                  <c:v>2</c:v>
                </c:pt>
                <c:pt idx="138">
                  <c:v>7</c:v>
                </c:pt>
                <c:pt idx="139">
                  <c:v>9</c:v>
                </c:pt>
                <c:pt idx="140">
                  <c:v>11</c:v>
                </c:pt>
                <c:pt idx="141">
                  <c:v>12</c:v>
                </c:pt>
                <c:pt idx="142">
                  <c:v>0</c:v>
                </c:pt>
                <c:pt idx="143">
                  <c:v>3</c:v>
                </c:pt>
                <c:pt idx="144">
                  <c:v>9</c:v>
                </c:pt>
                <c:pt idx="145">
                  <c:v>17</c:v>
                </c:pt>
                <c:pt idx="146">
                  <c:v>2</c:v>
                </c:pt>
                <c:pt idx="147">
                  <c:v>18</c:v>
                </c:pt>
                <c:pt idx="148">
                  <c:v>6</c:v>
                </c:pt>
                <c:pt idx="149">
                  <c:v>3</c:v>
                </c:pt>
              </c:numCache>
            </c:numRef>
          </c:xVal>
          <c:yVal>
            <c:numRef>
              <c:f>'Simple Regression'!$B$25:$B$174</c:f>
              <c:numCache>
                <c:formatCode>General</c:formatCode>
                <c:ptCount val="150"/>
                <c:pt idx="0">
                  <c:v>3110.4921631488724</c:v>
                </c:pt>
                <c:pt idx="1">
                  <c:v>3586.3832768479865</c:v>
                </c:pt>
                <c:pt idx="2">
                  <c:v>3110.4921631488724</c:v>
                </c:pt>
                <c:pt idx="3">
                  <c:v>6124.4692165765955</c:v>
                </c:pt>
                <c:pt idx="4">
                  <c:v>5965.8388453435573</c:v>
                </c:pt>
                <c:pt idx="5">
                  <c:v>3903.6440193140625</c:v>
                </c:pt>
                <c:pt idx="6">
                  <c:v>4379.5351330131771</c:v>
                </c:pt>
                <c:pt idx="7">
                  <c:v>6283.0995878096337</c:v>
                </c:pt>
                <c:pt idx="8">
                  <c:v>5965.8388453435573</c:v>
                </c:pt>
                <c:pt idx="9">
                  <c:v>6124.4692165765955</c:v>
                </c:pt>
                <c:pt idx="10">
                  <c:v>3586.3832768479865</c:v>
                </c:pt>
                <c:pt idx="11">
                  <c:v>5014.056617945329</c:v>
                </c:pt>
                <c:pt idx="12">
                  <c:v>4220.9047617801389</c:v>
                </c:pt>
                <c:pt idx="13">
                  <c:v>7869.4033001400139</c:v>
                </c:pt>
                <c:pt idx="14">
                  <c:v>7552.1425576739384</c:v>
                </c:pt>
                <c:pt idx="15">
                  <c:v>3269.1225343819106</c:v>
                </c:pt>
                <c:pt idx="16">
                  <c:v>7076.2514439748238</c:v>
                </c:pt>
                <c:pt idx="17">
                  <c:v>3110.4921631488724</c:v>
                </c:pt>
                <c:pt idx="18">
                  <c:v>5331.3173604114054</c:v>
                </c:pt>
                <c:pt idx="19">
                  <c:v>7869.4033001400139</c:v>
                </c:pt>
                <c:pt idx="20">
                  <c:v>8028.0336713730521</c:v>
                </c:pt>
                <c:pt idx="21">
                  <c:v>4696.7958754792526</c:v>
                </c:pt>
                <c:pt idx="22">
                  <c:v>3427.7529056149483</c:v>
                </c:pt>
                <c:pt idx="23">
                  <c:v>5331.3173604114054</c:v>
                </c:pt>
                <c:pt idx="24">
                  <c:v>3903.6440193140625</c:v>
                </c:pt>
                <c:pt idx="25">
                  <c:v>6124.4692165765955</c:v>
                </c:pt>
                <c:pt idx="26">
                  <c:v>4696.7958754792526</c:v>
                </c:pt>
                <c:pt idx="27">
                  <c:v>3745.0136480810247</c:v>
                </c:pt>
                <c:pt idx="28">
                  <c:v>5965.8388453435573</c:v>
                </c:pt>
                <c:pt idx="29">
                  <c:v>5807.2084741105191</c:v>
                </c:pt>
                <c:pt idx="30">
                  <c:v>7076.2514439748238</c:v>
                </c:pt>
                <c:pt idx="31">
                  <c:v>4855.4262467122908</c:v>
                </c:pt>
                <c:pt idx="32">
                  <c:v>4855.4262467122908</c:v>
                </c:pt>
                <c:pt idx="33">
                  <c:v>4855.4262467122908</c:v>
                </c:pt>
                <c:pt idx="34">
                  <c:v>5014.056617945329</c:v>
                </c:pt>
                <c:pt idx="35">
                  <c:v>5014.056617945329</c:v>
                </c:pt>
                <c:pt idx="36">
                  <c:v>3110.4921631488724</c:v>
                </c:pt>
                <c:pt idx="37">
                  <c:v>4696.7958754792526</c:v>
                </c:pt>
                <c:pt idx="38">
                  <c:v>3110.4921631488724</c:v>
                </c:pt>
                <c:pt idx="39">
                  <c:v>3110.4921631488724</c:v>
                </c:pt>
                <c:pt idx="40">
                  <c:v>6283.0995878096337</c:v>
                </c:pt>
                <c:pt idx="41">
                  <c:v>5648.5781028774818</c:v>
                </c:pt>
                <c:pt idx="42">
                  <c:v>3269.1225343819106</c:v>
                </c:pt>
                <c:pt idx="43">
                  <c:v>5172.6869891783672</c:v>
                </c:pt>
                <c:pt idx="44">
                  <c:v>5807.2084741105191</c:v>
                </c:pt>
                <c:pt idx="45">
                  <c:v>6758.9907015087483</c:v>
                </c:pt>
                <c:pt idx="46">
                  <c:v>3903.6440193140625</c:v>
                </c:pt>
                <c:pt idx="47">
                  <c:v>3586.3832768479865</c:v>
                </c:pt>
                <c:pt idx="48">
                  <c:v>3586.3832768479865</c:v>
                </c:pt>
                <c:pt idx="49">
                  <c:v>3745.0136480810247</c:v>
                </c:pt>
                <c:pt idx="50">
                  <c:v>6124.4692165765955</c:v>
                </c:pt>
                <c:pt idx="51">
                  <c:v>7234.881815207862</c:v>
                </c:pt>
                <c:pt idx="52">
                  <c:v>7869.4033001400139</c:v>
                </c:pt>
                <c:pt idx="53">
                  <c:v>6917.6210727417856</c:v>
                </c:pt>
                <c:pt idx="54">
                  <c:v>5807.2084741105191</c:v>
                </c:pt>
                <c:pt idx="55">
                  <c:v>3110.4921631488724</c:v>
                </c:pt>
                <c:pt idx="56">
                  <c:v>6441.7299590426719</c:v>
                </c:pt>
                <c:pt idx="57">
                  <c:v>3586.3832768479865</c:v>
                </c:pt>
                <c:pt idx="58">
                  <c:v>4379.5351330131771</c:v>
                </c:pt>
                <c:pt idx="59">
                  <c:v>4696.7958754792526</c:v>
                </c:pt>
                <c:pt idx="60">
                  <c:v>6124.4692165765955</c:v>
                </c:pt>
                <c:pt idx="61">
                  <c:v>4538.1655042462153</c:v>
                </c:pt>
                <c:pt idx="62">
                  <c:v>3269.1225343819106</c:v>
                </c:pt>
                <c:pt idx="63">
                  <c:v>3427.7529056149483</c:v>
                </c:pt>
                <c:pt idx="64">
                  <c:v>3745.0136480810247</c:v>
                </c:pt>
                <c:pt idx="65">
                  <c:v>8028.0336713730521</c:v>
                </c:pt>
                <c:pt idx="66">
                  <c:v>3269.1225343819106</c:v>
                </c:pt>
                <c:pt idx="67">
                  <c:v>4696.7958754792526</c:v>
                </c:pt>
                <c:pt idx="68">
                  <c:v>4696.7958754792526</c:v>
                </c:pt>
                <c:pt idx="69">
                  <c:v>7552.1425576739384</c:v>
                </c:pt>
                <c:pt idx="70">
                  <c:v>5807.2084741105191</c:v>
                </c:pt>
                <c:pt idx="71">
                  <c:v>5172.6869891783672</c:v>
                </c:pt>
                <c:pt idx="72">
                  <c:v>4696.7958754792526</c:v>
                </c:pt>
                <c:pt idx="73">
                  <c:v>8503.9247850721658</c:v>
                </c:pt>
                <c:pt idx="74">
                  <c:v>6600.3603302757092</c:v>
                </c:pt>
                <c:pt idx="75">
                  <c:v>3586.3832768479865</c:v>
                </c:pt>
                <c:pt idx="76">
                  <c:v>6283.0995878096337</c:v>
                </c:pt>
                <c:pt idx="77">
                  <c:v>4220.9047617801389</c:v>
                </c:pt>
                <c:pt idx="78">
                  <c:v>4855.4262467122908</c:v>
                </c:pt>
                <c:pt idx="79">
                  <c:v>5489.9477316444427</c:v>
                </c:pt>
                <c:pt idx="80">
                  <c:v>5965.8388453435573</c:v>
                </c:pt>
                <c:pt idx="81">
                  <c:v>5965.8388453435573</c:v>
                </c:pt>
                <c:pt idx="82">
                  <c:v>5965.8388453435573</c:v>
                </c:pt>
                <c:pt idx="83">
                  <c:v>3269.1225343819106</c:v>
                </c:pt>
                <c:pt idx="84">
                  <c:v>5648.5781028774818</c:v>
                </c:pt>
                <c:pt idx="85">
                  <c:v>5172.6869891783672</c:v>
                </c:pt>
                <c:pt idx="86">
                  <c:v>5014.056617945329</c:v>
                </c:pt>
                <c:pt idx="87">
                  <c:v>7710.7729289069757</c:v>
                </c:pt>
                <c:pt idx="88">
                  <c:v>4379.5351330131771</c:v>
                </c:pt>
                <c:pt idx="89">
                  <c:v>3269.1225343819106</c:v>
                </c:pt>
                <c:pt idx="90">
                  <c:v>4062.2743905471007</c:v>
                </c:pt>
                <c:pt idx="91">
                  <c:v>3269.1225343819106</c:v>
                </c:pt>
                <c:pt idx="92">
                  <c:v>5648.5781028774818</c:v>
                </c:pt>
                <c:pt idx="93">
                  <c:v>3269.1225343819106</c:v>
                </c:pt>
                <c:pt idx="94">
                  <c:v>4538.1655042462153</c:v>
                </c:pt>
                <c:pt idx="95">
                  <c:v>3586.3832768479865</c:v>
                </c:pt>
                <c:pt idx="96">
                  <c:v>5965.8388453435573</c:v>
                </c:pt>
                <c:pt idx="97">
                  <c:v>5014.056617945329</c:v>
                </c:pt>
                <c:pt idx="98">
                  <c:v>3110.4921631488724</c:v>
                </c:pt>
                <c:pt idx="99">
                  <c:v>4855.4262467122908</c:v>
                </c:pt>
                <c:pt idx="100">
                  <c:v>4220.9047617801389</c:v>
                </c:pt>
                <c:pt idx="101">
                  <c:v>3110.4921631488724</c:v>
                </c:pt>
                <c:pt idx="102">
                  <c:v>3427.7529056149483</c:v>
                </c:pt>
                <c:pt idx="103">
                  <c:v>4696.7958754792526</c:v>
                </c:pt>
                <c:pt idx="104">
                  <c:v>7552.1425576739384</c:v>
                </c:pt>
                <c:pt idx="105">
                  <c:v>3269.1225343819106</c:v>
                </c:pt>
                <c:pt idx="106">
                  <c:v>3110.4921631488724</c:v>
                </c:pt>
                <c:pt idx="107">
                  <c:v>3269.1225343819106</c:v>
                </c:pt>
                <c:pt idx="108">
                  <c:v>3903.6440193140625</c:v>
                </c:pt>
                <c:pt idx="109">
                  <c:v>4538.1655042462153</c:v>
                </c:pt>
                <c:pt idx="110">
                  <c:v>4855.4262467122908</c:v>
                </c:pt>
                <c:pt idx="111">
                  <c:v>3269.1225343819106</c:v>
                </c:pt>
                <c:pt idx="112">
                  <c:v>6283.0995878096337</c:v>
                </c:pt>
                <c:pt idx="113">
                  <c:v>4538.1655042462153</c:v>
                </c:pt>
                <c:pt idx="114">
                  <c:v>5648.5781028774818</c:v>
                </c:pt>
                <c:pt idx="115">
                  <c:v>8345.2944138391285</c:v>
                </c:pt>
                <c:pt idx="116">
                  <c:v>3745.0136480810247</c:v>
                </c:pt>
                <c:pt idx="117">
                  <c:v>3427.7529056149483</c:v>
                </c:pt>
                <c:pt idx="118">
                  <c:v>3903.6440193140625</c:v>
                </c:pt>
                <c:pt idx="119">
                  <c:v>8345.2944138391285</c:v>
                </c:pt>
                <c:pt idx="120">
                  <c:v>3269.1225343819106</c:v>
                </c:pt>
                <c:pt idx="121">
                  <c:v>7552.1425576739384</c:v>
                </c:pt>
                <c:pt idx="122">
                  <c:v>5014.056617945329</c:v>
                </c:pt>
                <c:pt idx="123">
                  <c:v>3745.0136480810247</c:v>
                </c:pt>
                <c:pt idx="124">
                  <c:v>6758.9907015087483</c:v>
                </c:pt>
                <c:pt idx="125">
                  <c:v>5489.9477316444427</c:v>
                </c:pt>
                <c:pt idx="126">
                  <c:v>8345.2944138391285</c:v>
                </c:pt>
                <c:pt idx="127">
                  <c:v>3269.1225343819106</c:v>
                </c:pt>
                <c:pt idx="128">
                  <c:v>4696.7958754792526</c:v>
                </c:pt>
                <c:pt idx="129">
                  <c:v>3269.1225343819106</c:v>
                </c:pt>
                <c:pt idx="130">
                  <c:v>3745.0136480810247</c:v>
                </c:pt>
                <c:pt idx="131">
                  <c:v>3269.1225343819106</c:v>
                </c:pt>
                <c:pt idx="132">
                  <c:v>3745.0136480810247</c:v>
                </c:pt>
                <c:pt idx="133">
                  <c:v>4696.7958754792526</c:v>
                </c:pt>
                <c:pt idx="134">
                  <c:v>4379.5351330131771</c:v>
                </c:pt>
                <c:pt idx="135">
                  <c:v>4855.4262467122908</c:v>
                </c:pt>
                <c:pt idx="136">
                  <c:v>3110.4921631488724</c:v>
                </c:pt>
                <c:pt idx="137">
                  <c:v>3427.7529056149483</c:v>
                </c:pt>
                <c:pt idx="138">
                  <c:v>4220.9047617801389</c:v>
                </c:pt>
                <c:pt idx="139">
                  <c:v>4538.1655042462153</c:v>
                </c:pt>
                <c:pt idx="140">
                  <c:v>4855.4262467122908</c:v>
                </c:pt>
                <c:pt idx="141">
                  <c:v>5014.056617945329</c:v>
                </c:pt>
                <c:pt idx="142">
                  <c:v>3110.4921631488724</c:v>
                </c:pt>
                <c:pt idx="143">
                  <c:v>3586.3832768479865</c:v>
                </c:pt>
                <c:pt idx="144">
                  <c:v>4538.1655042462153</c:v>
                </c:pt>
                <c:pt idx="145">
                  <c:v>5807.2084741105191</c:v>
                </c:pt>
                <c:pt idx="146">
                  <c:v>3427.7529056149483</c:v>
                </c:pt>
                <c:pt idx="147">
                  <c:v>5965.8388453435573</c:v>
                </c:pt>
                <c:pt idx="148">
                  <c:v>4062.2743905471007</c:v>
                </c:pt>
                <c:pt idx="149">
                  <c:v>3586.3832768479865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0C-4AC5-9DCB-E744AA074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505936"/>
        <c:axId val="1223511216"/>
      </c:scatterChart>
      <c:valAx>
        <c:axId val="1223505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Experience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3511216"/>
        <c:crosses val="autoZero"/>
        <c:crossBetween val="midCat"/>
      </c:valAx>
      <c:valAx>
        <c:axId val="12235112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35059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Salary-Experie</a:t>
            </a:r>
            <a:r>
              <a:rPr lang="en-US" baseline="0"/>
              <a:t>nce Regression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Salary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380035948062063E-2"/>
                  <c:y val="0.22489712217272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data!$D$2:$D$151</c:f>
              <c:numCache>
                <c:formatCode>General</c:formatCode>
                <c:ptCount val="150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19</c:v>
                </c:pt>
                <c:pt idx="4">
                  <c:v>18</c:v>
                </c:pt>
                <c:pt idx="5">
                  <c:v>5</c:v>
                </c:pt>
                <c:pt idx="6">
                  <c:v>8</c:v>
                </c:pt>
                <c:pt idx="7">
                  <c:v>20</c:v>
                </c:pt>
                <c:pt idx="8">
                  <c:v>18</c:v>
                </c:pt>
                <c:pt idx="9">
                  <c:v>19</c:v>
                </c:pt>
                <c:pt idx="10">
                  <c:v>3</c:v>
                </c:pt>
                <c:pt idx="11">
                  <c:v>12</c:v>
                </c:pt>
                <c:pt idx="12">
                  <c:v>7</c:v>
                </c:pt>
                <c:pt idx="13">
                  <c:v>30</c:v>
                </c:pt>
                <c:pt idx="14">
                  <c:v>28</c:v>
                </c:pt>
                <c:pt idx="15">
                  <c:v>1</c:v>
                </c:pt>
                <c:pt idx="16">
                  <c:v>25</c:v>
                </c:pt>
                <c:pt idx="17">
                  <c:v>0</c:v>
                </c:pt>
                <c:pt idx="18">
                  <c:v>14</c:v>
                </c:pt>
                <c:pt idx="19">
                  <c:v>30</c:v>
                </c:pt>
                <c:pt idx="20">
                  <c:v>31</c:v>
                </c:pt>
                <c:pt idx="21">
                  <c:v>10</c:v>
                </c:pt>
                <c:pt idx="22">
                  <c:v>2</c:v>
                </c:pt>
                <c:pt idx="23">
                  <c:v>14</c:v>
                </c:pt>
                <c:pt idx="24">
                  <c:v>5</c:v>
                </c:pt>
                <c:pt idx="25">
                  <c:v>19</c:v>
                </c:pt>
                <c:pt idx="26">
                  <c:v>10</c:v>
                </c:pt>
                <c:pt idx="27">
                  <c:v>4</c:v>
                </c:pt>
                <c:pt idx="28">
                  <c:v>18</c:v>
                </c:pt>
                <c:pt idx="29">
                  <c:v>17</c:v>
                </c:pt>
                <c:pt idx="30">
                  <c:v>25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12</c:v>
                </c:pt>
                <c:pt idx="35">
                  <c:v>12</c:v>
                </c:pt>
                <c:pt idx="36">
                  <c:v>0</c:v>
                </c:pt>
                <c:pt idx="37">
                  <c:v>10</c:v>
                </c:pt>
                <c:pt idx="38">
                  <c:v>0</c:v>
                </c:pt>
                <c:pt idx="39">
                  <c:v>0</c:v>
                </c:pt>
                <c:pt idx="40">
                  <c:v>20</c:v>
                </c:pt>
                <c:pt idx="41">
                  <c:v>16</c:v>
                </c:pt>
                <c:pt idx="42">
                  <c:v>1</c:v>
                </c:pt>
                <c:pt idx="43">
                  <c:v>13</c:v>
                </c:pt>
                <c:pt idx="44">
                  <c:v>17</c:v>
                </c:pt>
                <c:pt idx="45">
                  <c:v>23</c:v>
                </c:pt>
                <c:pt idx="46">
                  <c:v>5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19</c:v>
                </c:pt>
                <c:pt idx="51">
                  <c:v>26</c:v>
                </c:pt>
                <c:pt idx="52">
                  <c:v>30</c:v>
                </c:pt>
                <c:pt idx="53">
                  <c:v>24</c:v>
                </c:pt>
                <c:pt idx="54">
                  <c:v>17</c:v>
                </c:pt>
                <c:pt idx="55">
                  <c:v>0</c:v>
                </c:pt>
                <c:pt idx="56">
                  <c:v>21</c:v>
                </c:pt>
                <c:pt idx="57">
                  <c:v>3</c:v>
                </c:pt>
                <c:pt idx="58">
                  <c:v>8</c:v>
                </c:pt>
                <c:pt idx="59">
                  <c:v>10</c:v>
                </c:pt>
                <c:pt idx="60">
                  <c:v>19</c:v>
                </c:pt>
                <c:pt idx="61">
                  <c:v>9</c:v>
                </c:pt>
                <c:pt idx="62">
                  <c:v>1</c:v>
                </c:pt>
                <c:pt idx="63">
                  <c:v>2</c:v>
                </c:pt>
                <c:pt idx="64">
                  <c:v>4</c:v>
                </c:pt>
                <c:pt idx="65">
                  <c:v>31</c:v>
                </c:pt>
                <c:pt idx="66">
                  <c:v>1</c:v>
                </c:pt>
                <c:pt idx="67">
                  <c:v>10</c:v>
                </c:pt>
                <c:pt idx="68">
                  <c:v>10</c:v>
                </c:pt>
                <c:pt idx="69">
                  <c:v>28</c:v>
                </c:pt>
                <c:pt idx="70">
                  <c:v>17</c:v>
                </c:pt>
                <c:pt idx="71">
                  <c:v>13</c:v>
                </c:pt>
                <c:pt idx="72">
                  <c:v>10</c:v>
                </c:pt>
                <c:pt idx="73">
                  <c:v>34</c:v>
                </c:pt>
                <c:pt idx="74">
                  <c:v>22</c:v>
                </c:pt>
                <c:pt idx="75">
                  <c:v>3</c:v>
                </c:pt>
                <c:pt idx="76">
                  <c:v>20</c:v>
                </c:pt>
                <c:pt idx="77">
                  <c:v>7</c:v>
                </c:pt>
                <c:pt idx="78">
                  <c:v>11</c:v>
                </c:pt>
                <c:pt idx="79">
                  <c:v>15</c:v>
                </c:pt>
                <c:pt idx="80">
                  <c:v>18</c:v>
                </c:pt>
                <c:pt idx="81">
                  <c:v>18</c:v>
                </c:pt>
                <c:pt idx="82">
                  <c:v>18</c:v>
                </c:pt>
                <c:pt idx="83">
                  <c:v>1</c:v>
                </c:pt>
                <c:pt idx="84">
                  <c:v>16</c:v>
                </c:pt>
                <c:pt idx="85">
                  <c:v>13</c:v>
                </c:pt>
                <c:pt idx="86">
                  <c:v>12</c:v>
                </c:pt>
                <c:pt idx="87">
                  <c:v>29</c:v>
                </c:pt>
                <c:pt idx="88">
                  <c:v>8</c:v>
                </c:pt>
                <c:pt idx="89">
                  <c:v>1</c:v>
                </c:pt>
                <c:pt idx="90">
                  <c:v>6</c:v>
                </c:pt>
                <c:pt idx="91">
                  <c:v>1</c:v>
                </c:pt>
                <c:pt idx="92">
                  <c:v>16</c:v>
                </c:pt>
                <c:pt idx="93">
                  <c:v>1</c:v>
                </c:pt>
                <c:pt idx="94">
                  <c:v>9</c:v>
                </c:pt>
                <c:pt idx="95">
                  <c:v>3</c:v>
                </c:pt>
                <c:pt idx="96">
                  <c:v>18</c:v>
                </c:pt>
                <c:pt idx="97">
                  <c:v>12</c:v>
                </c:pt>
                <c:pt idx="98">
                  <c:v>0</c:v>
                </c:pt>
                <c:pt idx="99">
                  <c:v>11</c:v>
                </c:pt>
                <c:pt idx="100">
                  <c:v>7</c:v>
                </c:pt>
                <c:pt idx="101">
                  <c:v>0</c:v>
                </c:pt>
                <c:pt idx="102">
                  <c:v>2</c:v>
                </c:pt>
                <c:pt idx="103">
                  <c:v>10</c:v>
                </c:pt>
                <c:pt idx="104">
                  <c:v>28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5</c:v>
                </c:pt>
                <c:pt idx="109">
                  <c:v>9</c:v>
                </c:pt>
                <c:pt idx="110">
                  <c:v>11</c:v>
                </c:pt>
                <c:pt idx="111">
                  <c:v>1</c:v>
                </c:pt>
                <c:pt idx="112">
                  <c:v>20</c:v>
                </c:pt>
                <c:pt idx="113">
                  <c:v>9</c:v>
                </c:pt>
                <c:pt idx="114">
                  <c:v>16</c:v>
                </c:pt>
                <c:pt idx="115">
                  <c:v>33</c:v>
                </c:pt>
                <c:pt idx="116">
                  <c:v>4</c:v>
                </c:pt>
                <c:pt idx="117">
                  <c:v>2</c:v>
                </c:pt>
                <c:pt idx="118">
                  <c:v>5</c:v>
                </c:pt>
                <c:pt idx="119">
                  <c:v>33</c:v>
                </c:pt>
                <c:pt idx="120">
                  <c:v>1</c:v>
                </c:pt>
                <c:pt idx="121">
                  <c:v>28</c:v>
                </c:pt>
                <c:pt idx="122">
                  <c:v>12</c:v>
                </c:pt>
                <c:pt idx="123">
                  <c:v>4</c:v>
                </c:pt>
                <c:pt idx="124">
                  <c:v>23</c:v>
                </c:pt>
                <c:pt idx="125">
                  <c:v>15</c:v>
                </c:pt>
                <c:pt idx="126">
                  <c:v>33</c:v>
                </c:pt>
                <c:pt idx="127">
                  <c:v>1</c:v>
                </c:pt>
                <c:pt idx="128">
                  <c:v>10</c:v>
                </c:pt>
                <c:pt idx="129">
                  <c:v>1</c:v>
                </c:pt>
                <c:pt idx="130">
                  <c:v>4</c:v>
                </c:pt>
                <c:pt idx="131">
                  <c:v>1</c:v>
                </c:pt>
                <c:pt idx="132">
                  <c:v>4</c:v>
                </c:pt>
                <c:pt idx="133">
                  <c:v>10</c:v>
                </c:pt>
                <c:pt idx="134">
                  <c:v>8</c:v>
                </c:pt>
                <c:pt idx="135">
                  <c:v>11</c:v>
                </c:pt>
                <c:pt idx="136">
                  <c:v>0</c:v>
                </c:pt>
                <c:pt idx="137">
                  <c:v>2</c:v>
                </c:pt>
                <c:pt idx="138">
                  <c:v>7</c:v>
                </c:pt>
                <c:pt idx="139">
                  <c:v>9</c:v>
                </c:pt>
                <c:pt idx="140">
                  <c:v>11</c:v>
                </c:pt>
                <c:pt idx="141">
                  <c:v>12</c:v>
                </c:pt>
                <c:pt idx="142">
                  <c:v>0</c:v>
                </c:pt>
                <c:pt idx="143">
                  <c:v>3</c:v>
                </c:pt>
                <c:pt idx="144">
                  <c:v>9</c:v>
                </c:pt>
                <c:pt idx="145">
                  <c:v>17</c:v>
                </c:pt>
                <c:pt idx="146">
                  <c:v>2</c:v>
                </c:pt>
                <c:pt idx="147">
                  <c:v>18</c:v>
                </c:pt>
                <c:pt idx="148">
                  <c:v>6</c:v>
                </c:pt>
                <c:pt idx="149">
                  <c:v>3</c:v>
                </c:pt>
              </c:numCache>
            </c:numRef>
          </c:xVal>
          <c:yVal>
            <c:numRef>
              <c:f>data!$G$2:$G$151</c:f>
              <c:numCache>
                <c:formatCode>General</c:formatCode>
                <c:ptCount val="150"/>
                <c:pt idx="0">
                  <c:v>3781</c:v>
                </c:pt>
                <c:pt idx="1">
                  <c:v>4015</c:v>
                </c:pt>
                <c:pt idx="2">
                  <c:v>3250</c:v>
                </c:pt>
                <c:pt idx="3">
                  <c:v>6317</c:v>
                </c:pt>
                <c:pt idx="4">
                  <c:v>4866</c:v>
                </c:pt>
                <c:pt idx="5">
                  <c:v>3481</c:v>
                </c:pt>
                <c:pt idx="6">
                  <c:v>5542</c:v>
                </c:pt>
                <c:pt idx="7">
                  <c:v>6013</c:v>
                </c:pt>
                <c:pt idx="8">
                  <c:v>5721</c:v>
                </c:pt>
                <c:pt idx="9">
                  <c:v>5907</c:v>
                </c:pt>
                <c:pt idx="10">
                  <c:v>3105</c:v>
                </c:pt>
                <c:pt idx="11">
                  <c:v>4491</c:v>
                </c:pt>
                <c:pt idx="12">
                  <c:v>4257</c:v>
                </c:pt>
                <c:pt idx="13">
                  <c:v>8148</c:v>
                </c:pt>
                <c:pt idx="14">
                  <c:v>6735</c:v>
                </c:pt>
                <c:pt idx="15">
                  <c:v>2318</c:v>
                </c:pt>
                <c:pt idx="16">
                  <c:v>6922</c:v>
                </c:pt>
                <c:pt idx="17">
                  <c:v>2568</c:v>
                </c:pt>
                <c:pt idx="18">
                  <c:v>4710</c:v>
                </c:pt>
                <c:pt idx="19">
                  <c:v>7101</c:v>
                </c:pt>
                <c:pt idx="20">
                  <c:v>6692</c:v>
                </c:pt>
                <c:pt idx="21">
                  <c:v>4308</c:v>
                </c:pt>
                <c:pt idx="22">
                  <c:v>3119</c:v>
                </c:pt>
                <c:pt idx="23">
                  <c:v>5233</c:v>
                </c:pt>
                <c:pt idx="24">
                  <c:v>3076</c:v>
                </c:pt>
                <c:pt idx="25">
                  <c:v>6663</c:v>
                </c:pt>
                <c:pt idx="26">
                  <c:v>5438</c:v>
                </c:pt>
                <c:pt idx="27">
                  <c:v>2967</c:v>
                </c:pt>
                <c:pt idx="28">
                  <c:v>4980</c:v>
                </c:pt>
                <c:pt idx="29">
                  <c:v>5762</c:v>
                </c:pt>
                <c:pt idx="30">
                  <c:v>7488</c:v>
                </c:pt>
                <c:pt idx="31">
                  <c:v>4221</c:v>
                </c:pt>
                <c:pt idx="32">
                  <c:v>5259</c:v>
                </c:pt>
                <c:pt idx="33">
                  <c:v>5664</c:v>
                </c:pt>
                <c:pt idx="34">
                  <c:v>5407</c:v>
                </c:pt>
                <c:pt idx="35">
                  <c:v>5892</c:v>
                </c:pt>
                <c:pt idx="36">
                  <c:v>2257</c:v>
                </c:pt>
                <c:pt idx="37">
                  <c:v>4526</c:v>
                </c:pt>
                <c:pt idx="38">
                  <c:v>3573</c:v>
                </c:pt>
                <c:pt idx="39">
                  <c:v>3194</c:v>
                </c:pt>
                <c:pt idx="40">
                  <c:v>8045</c:v>
                </c:pt>
                <c:pt idx="41">
                  <c:v>5645</c:v>
                </c:pt>
                <c:pt idx="42">
                  <c:v>1939</c:v>
                </c:pt>
                <c:pt idx="43">
                  <c:v>5768</c:v>
                </c:pt>
                <c:pt idx="44">
                  <c:v>7467</c:v>
                </c:pt>
                <c:pt idx="45">
                  <c:v>6470</c:v>
                </c:pt>
                <c:pt idx="46">
                  <c:v>3245</c:v>
                </c:pt>
                <c:pt idx="47">
                  <c:v>3214</c:v>
                </c:pt>
                <c:pt idx="48">
                  <c:v>3339</c:v>
                </c:pt>
                <c:pt idx="49">
                  <c:v>3599</c:v>
                </c:pt>
                <c:pt idx="50">
                  <c:v>6516</c:v>
                </c:pt>
                <c:pt idx="51">
                  <c:v>7095</c:v>
                </c:pt>
                <c:pt idx="52">
                  <c:v>8603</c:v>
                </c:pt>
                <c:pt idx="53">
                  <c:v>7085</c:v>
                </c:pt>
                <c:pt idx="54">
                  <c:v>5082</c:v>
                </c:pt>
                <c:pt idx="55">
                  <c:v>2330</c:v>
                </c:pt>
                <c:pt idx="56">
                  <c:v>5720</c:v>
                </c:pt>
                <c:pt idx="57">
                  <c:v>2688</c:v>
                </c:pt>
                <c:pt idx="58">
                  <c:v>4366</c:v>
                </c:pt>
                <c:pt idx="59">
                  <c:v>4370</c:v>
                </c:pt>
                <c:pt idx="60">
                  <c:v>6214</c:v>
                </c:pt>
                <c:pt idx="61">
                  <c:v>4548</c:v>
                </c:pt>
                <c:pt idx="62">
                  <c:v>2263</c:v>
                </c:pt>
                <c:pt idx="63">
                  <c:v>3841</c:v>
                </c:pt>
                <c:pt idx="64">
                  <c:v>4267</c:v>
                </c:pt>
                <c:pt idx="65">
                  <c:v>7771</c:v>
                </c:pt>
                <c:pt idx="66">
                  <c:v>3422</c:v>
                </c:pt>
                <c:pt idx="67">
                  <c:v>5514</c:v>
                </c:pt>
                <c:pt idx="68">
                  <c:v>4407</c:v>
                </c:pt>
                <c:pt idx="69">
                  <c:v>6862</c:v>
                </c:pt>
                <c:pt idx="70">
                  <c:v>4692</c:v>
                </c:pt>
                <c:pt idx="71">
                  <c:v>4958</c:v>
                </c:pt>
                <c:pt idx="72">
                  <c:v>5106</c:v>
                </c:pt>
                <c:pt idx="73">
                  <c:v>9356</c:v>
                </c:pt>
                <c:pt idx="74">
                  <c:v>7160</c:v>
                </c:pt>
                <c:pt idx="75">
                  <c:v>3622</c:v>
                </c:pt>
                <c:pt idx="76">
                  <c:v>7108</c:v>
                </c:pt>
                <c:pt idx="77">
                  <c:v>4077</c:v>
                </c:pt>
                <c:pt idx="78">
                  <c:v>4395</c:v>
                </c:pt>
                <c:pt idx="79">
                  <c:v>5297</c:v>
                </c:pt>
                <c:pt idx="80">
                  <c:v>5628</c:v>
                </c:pt>
                <c:pt idx="81">
                  <c:v>5615</c:v>
                </c:pt>
                <c:pt idx="82">
                  <c:v>5124</c:v>
                </c:pt>
                <c:pt idx="83">
                  <c:v>3654</c:v>
                </c:pt>
                <c:pt idx="84">
                  <c:v>5803</c:v>
                </c:pt>
                <c:pt idx="85">
                  <c:v>6397</c:v>
                </c:pt>
                <c:pt idx="86">
                  <c:v>5567</c:v>
                </c:pt>
                <c:pt idx="87">
                  <c:v>8183</c:v>
                </c:pt>
                <c:pt idx="88">
                  <c:v>4765</c:v>
                </c:pt>
                <c:pt idx="89">
                  <c:v>4331</c:v>
                </c:pt>
                <c:pt idx="90">
                  <c:v>3459</c:v>
                </c:pt>
                <c:pt idx="91">
                  <c:v>3422</c:v>
                </c:pt>
                <c:pt idx="92">
                  <c:v>5355</c:v>
                </c:pt>
                <c:pt idx="93">
                  <c:v>2586</c:v>
                </c:pt>
                <c:pt idx="94">
                  <c:v>4412</c:v>
                </c:pt>
                <c:pt idx="95">
                  <c:v>3965</c:v>
                </c:pt>
                <c:pt idx="96">
                  <c:v>6514</c:v>
                </c:pt>
                <c:pt idx="97">
                  <c:v>5478</c:v>
                </c:pt>
                <c:pt idx="98">
                  <c:v>3616</c:v>
                </c:pt>
                <c:pt idx="99">
                  <c:v>5520</c:v>
                </c:pt>
                <c:pt idx="100">
                  <c:v>4356</c:v>
                </c:pt>
                <c:pt idx="101">
                  <c:v>3169</c:v>
                </c:pt>
                <c:pt idx="102">
                  <c:v>3374</c:v>
                </c:pt>
                <c:pt idx="103">
                  <c:v>4612</c:v>
                </c:pt>
                <c:pt idx="104">
                  <c:v>8002</c:v>
                </c:pt>
                <c:pt idx="105">
                  <c:v>2928</c:v>
                </c:pt>
                <c:pt idx="106">
                  <c:v>3043</c:v>
                </c:pt>
                <c:pt idx="107">
                  <c:v>2917</c:v>
                </c:pt>
                <c:pt idx="108">
                  <c:v>4790</c:v>
                </c:pt>
                <c:pt idx="109">
                  <c:v>5331</c:v>
                </c:pt>
                <c:pt idx="110">
                  <c:v>5269</c:v>
                </c:pt>
                <c:pt idx="111">
                  <c:v>4130</c:v>
                </c:pt>
                <c:pt idx="112">
                  <c:v>5799</c:v>
                </c:pt>
                <c:pt idx="113">
                  <c:v>4890</c:v>
                </c:pt>
                <c:pt idx="114">
                  <c:v>4826</c:v>
                </c:pt>
                <c:pt idx="115">
                  <c:v>8022</c:v>
                </c:pt>
                <c:pt idx="116">
                  <c:v>3640</c:v>
                </c:pt>
                <c:pt idx="117">
                  <c:v>3989</c:v>
                </c:pt>
                <c:pt idx="118">
                  <c:v>2865</c:v>
                </c:pt>
                <c:pt idx="119">
                  <c:v>8619</c:v>
                </c:pt>
                <c:pt idx="120">
                  <c:v>3344</c:v>
                </c:pt>
                <c:pt idx="121">
                  <c:v>8716</c:v>
                </c:pt>
                <c:pt idx="122">
                  <c:v>4710</c:v>
                </c:pt>
                <c:pt idx="123">
                  <c:v>3844</c:v>
                </c:pt>
                <c:pt idx="124">
                  <c:v>6169</c:v>
                </c:pt>
                <c:pt idx="125">
                  <c:v>6468</c:v>
                </c:pt>
                <c:pt idx="126">
                  <c:v>7358</c:v>
                </c:pt>
                <c:pt idx="127">
                  <c:v>4668</c:v>
                </c:pt>
                <c:pt idx="128">
                  <c:v>5595</c:v>
                </c:pt>
                <c:pt idx="129">
                  <c:v>3346</c:v>
                </c:pt>
                <c:pt idx="130">
                  <c:v>3872</c:v>
                </c:pt>
                <c:pt idx="131">
                  <c:v>2897</c:v>
                </c:pt>
                <c:pt idx="132">
                  <c:v>3355</c:v>
                </c:pt>
                <c:pt idx="133">
                  <c:v>4969</c:v>
                </c:pt>
                <c:pt idx="134">
                  <c:v>3732</c:v>
                </c:pt>
                <c:pt idx="135">
                  <c:v>5922</c:v>
                </c:pt>
                <c:pt idx="136">
                  <c:v>2989</c:v>
                </c:pt>
                <c:pt idx="137">
                  <c:v>4485</c:v>
                </c:pt>
                <c:pt idx="138">
                  <c:v>4268</c:v>
                </c:pt>
                <c:pt idx="139">
                  <c:v>3188</c:v>
                </c:pt>
                <c:pt idx="140">
                  <c:v>5837</c:v>
                </c:pt>
                <c:pt idx="141">
                  <c:v>4144</c:v>
                </c:pt>
                <c:pt idx="142">
                  <c:v>3267</c:v>
                </c:pt>
                <c:pt idx="143">
                  <c:v>3792</c:v>
                </c:pt>
                <c:pt idx="144">
                  <c:v>4356</c:v>
                </c:pt>
                <c:pt idx="145">
                  <c:v>5159</c:v>
                </c:pt>
                <c:pt idx="146">
                  <c:v>3245</c:v>
                </c:pt>
                <c:pt idx="147">
                  <c:v>6694</c:v>
                </c:pt>
                <c:pt idx="148">
                  <c:v>4080</c:v>
                </c:pt>
                <c:pt idx="149">
                  <c:v>2999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26-441C-873C-F7D0F29BF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523296"/>
        <c:axId val="1113540576"/>
      </c:scatterChart>
      <c:valAx>
        <c:axId val="111352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Experience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40576"/>
        <c:crosses val="autoZero"/>
        <c:crossBetween val="midCat"/>
      </c:valAx>
      <c:valAx>
        <c:axId val="111354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2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[data_1.xlsx]Charts!PivotTable26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Conversion by Website_Group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Charts!$G$82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Charts!$F$83:$F$84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Charts!$G$83:$G$84</c:f>
              <c:numCache>
                <c:formatCode>General</c:formatCode>
                <c:ptCount val="2"/>
                <c:pt idx="0">
                  <c:v>24</c:v>
                </c:pt>
                <c:pt idx="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9-4638-A9D4-8DA77E958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6305280"/>
        <c:axId val="1626305760"/>
      </c:barChart>
      <c:catAx>
        <c:axId val="162630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305760"/>
        <c:crosses val="autoZero"/>
        <c:auto val="1"/>
        <c:lblAlgn val="ctr"/>
        <c:lblOffset val="100"/>
        <c:noMultiLvlLbl val="0"/>
      </c:catAx>
      <c:valAx>
        <c:axId val="162630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30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Monthly_Sales!$B$1</c:f>
              <c:strCache>
                <c:ptCount val="1"/>
                <c:pt idx="0">
                  <c:v>Monthly_Sales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Monthly_Sales!$A$2:$A$61</c:f>
              <c:strCache>
                <c:ptCount val="60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  <c:pt idx="48">
                  <c:v>2026-01</c:v>
                </c:pt>
                <c:pt idx="49">
                  <c:v>2026-02</c:v>
                </c:pt>
                <c:pt idx="50">
                  <c:v>2026-03</c:v>
                </c:pt>
                <c:pt idx="51">
                  <c:v>2026-04</c:v>
                </c:pt>
                <c:pt idx="52">
                  <c:v>2026-05</c:v>
                </c:pt>
                <c:pt idx="53">
                  <c:v>2026-06</c:v>
                </c:pt>
                <c:pt idx="54">
                  <c:v>2026-07</c:v>
                </c:pt>
                <c:pt idx="55">
                  <c:v>2026-08</c:v>
                </c:pt>
                <c:pt idx="56">
                  <c:v>2026-09</c:v>
                </c:pt>
                <c:pt idx="57">
                  <c:v>2026-10</c:v>
                </c:pt>
                <c:pt idx="58">
                  <c:v>2026-11</c:v>
                </c:pt>
                <c:pt idx="59">
                  <c:v>2026-12</c:v>
                </c:pt>
              </c:strCache>
            </c:strRef>
          </c:cat>
          <c:val>
            <c:numRef>
              <c:f>Monthly_Sales!$B$2:$B$61</c:f>
              <c:numCache>
                <c:formatCode>0.00</c:formatCode>
                <c:ptCount val="60"/>
                <c:pt idx="0">
                  <c:v>87808</c:v>
                </c:pt>
                <c:pt idx="1">
                  <c:v>96364</c:v>
                </c:pt>
                <c:pt idx="2">
                  <c:v>90582</c:v>
                </c:pt>
                <c:pt idx="3">
                  <c:v>95832</c:v>
                </c:pt>
                <c:pt idx="4">
                  <c:v>98707</c:v>
                </c:pt>
                <c:pt idx="5">
                  <c:v>98061</c:v>
                </c:pt>
                <c:pt idx="6">
                  <c:v>100255</c:v>
                </c:pt>
                <c:pt idx="7">
                  <c:v>105651</c:v>
                </c:pt>
                <c:pt idx="8">
                  <c:v>99405</c:v>
                </c:pt>
                <c:pt idx="9">
                  <c:v>102381</c:v>
                </c:pt>
                <c:pt idx="10">
                  <c:v>106716</c:v>
                </c:pt>
                <c:pt idx="11">
                  <c:v>111524</c:v>
                </c:pt>
                <c:pt idx="12">
                  <c:v>104985</c:v>
                </c:pt>
                <c:pt idx="13">
                  <c:v>106627</c:v>
                </c:pt>
                <c:pt idx="14">
                  <c:v>106374</c:v>
                </c:pt>
                <c:pt idx="15">
                  <c:v>105689</c:v>
                </c:pt>
                <c:pt idx="16">
                  <c:v>107937</c:v>
                </c:pt>
                <c:pt idx="17">
                  <c:v>113121</c:v>
                </c:pt>
                <c:pt idx="18">
                  <c:v>117240</c:v>
                </c:pt>
                <c:pt idx="19">
                  <c:v>117545</c:v>
                </c:pt>
                <c:pt idx="20">
                  <c:v>114472</c:v>
                </c:pt>
                <c:pt idx="21">
                  <c:v>114462</c:v>
                </c:pt>
                <c:pt idx="22">
                  <c:v>121678</c:v>
                </c:pt>
                <c:pt idx="23">
                  <c:v>124990</c:v>
                </c:pt>
                <c:pt idx="24">
                  <c:v>115698</c:v>
                </c:pt>
                <c:pt idx="25">
                  <c:v>118914</c:v>
                </c:pt>
                <c:pt idx="26">
                  <c:v>119004</c:v>
                </c:pt>
                <c:pt idx="27">
                  <c:v>123954</c:v>
                </c:pt>
                <c:pt idx="28">
                  <c:v>126494</c:v>
                </c:pt>
                <c:pt idx="29">
                  <c:v>131204</c:v>
                </c:pt>
                <c:pt idx="30">
                  <c:v>132859</c:v>
                </c:pt>
                <c:pt idx="31">
                  <c:v>133709</c:v>
                </c:pt>
                <c:pt idx="32">
                  <c:v>130755</c:v>
                </c:pt>
                <c:pt idx="33">
                  <c:v>129440</c:v>
                </c:pt>
                <c:pt idx="34">
                  <c:v>135696</c:v>
                </c:pt>
                <c:pt idx="35">
                  <c:v>136566</c:v>
                </c:pt>
                <c:pt idx="36">
                  <c:v>136640</c:v>
                </c:pt>
                <c:pt idx="37">
                  <c:v>133780</c:v>
                </c:pt>
                <c:pt idx="38">
                  <c:v>134630</c:v>
                </c:pt>
                <c:pt idx="39">
                  <c:v>135397</c:v>
                </c:pt>
                <c:pt idx="40">
                  <c:v>138166</c:v>
                </c:pt>
                <c:pt idx="41">
                  <c:v>144659</c:v>
                </c:pt>
                <c:pt idx="42">
                  <c:v>144896</c:v>
                </c:pt>
                <c:pt idx="43">
                  <c:v>148857</c:v>
                </c:pt>
                <c:pt idx="44">
                  <c:v>144603</c:v>
                </c:pt>
                <c:pt idx="45">
                  <c:v>144497</c:v>
                </c:pt>
                <c:pt idx="46">
                  <c:v>146070</c:v>
                </c:pt>
                <c:pt idx="47">
                  <c:v>154181</c:v>
                </c:pt>
                <c:pt idx="48">
                  <c:v>144519</c:v>
                </c:pt>
                <c:pt idx="49">
                  <c:v>151971</c:v>
                </c:pt>
                <c:pt idx="50">
                  <c:v>150102</c:v>
                </c:pt>
                <c:pt idx="51">
                  <c:v>150294</c:v>
                </c:pt>
                <c:pt idx="52">
                  <c:v>153369</c:v>
                </c:pt>
                <c:pt idx="53">
                  <c:v>157632</c:v>
                </c:pt>
                <c:pt idx="54">
                  <c:v>158664</c:v>
                </c:pt>
                <c:pt idx="55">
                  <c:v>157602</c:v>
                </c:pt>
                <c:pt idx="56">
                  <c:v>158864</c:v>
                </c:pt>
                <c:pt idx="57">
                  <c:v>160030</c:v>
                </c:pt>
                <c:pt idx="58">
                  <c:v>163789</c:v>
                </c:pt>
                <c:pt idx="59">
                  <c:v>171561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49-4557-8D2D-6C540FF3F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086560"/>
        <c:axId val="506085120"/>
      </c:lineChart>
      <c:catAx>
        <c:axId val="506086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085120"/>
        <c:crosses val="autoZero"/>
        <c:auto val="1"/>
        <c:lblAlgn val="ctr"/>
        <c:lblOffset val="100"/>
        <c:noMultiLvlLbl val="0"/>
      </c:catAx>
      <c:valAx>
        <c:axId val="50608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08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 Performance_Score Outlier Detection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 Performance_Score Outlier Detection</a:t>
          </a:r>
        </a:p>
      </cx:txPr>
    </cx:title>
    <cx:plotArea>
      <cx:plotAreaRegion>
        <cx:series layoutId="boxWhisker" uniqueId="{00000000-1A4F-4DEF-AF5E-7E77F000A4A4}">
          <cx:tx>
            <cx:txData>
              <cx:f>_xlchart.v1.6</cx:f>
              <cx:v>Performance_Score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Salary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Salary</a:t>
          </a:r>
        </a:p>
      </cx:txPr>
    </cx:title>
    <cx:plotArea>
      <cx:plotAreaRegion>
        <cx:series layoutId="clusteredColumn" uniqueId="{00000000-3913-4FB0-A18B-9A188AEC480B}">
          <cx:tx>
            <cx:txData>
              <cx:f>_xlchart.v1.2</cx:f>
              <cx:v>Salary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1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Salary Outlier Detection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Salary Outlier Detection</a:t>
          </a:r>
        </a:p>
      </cx:txPr>
    </cx:title>
    <cx:plotArea>
      <cx:plotAreaRegion>
        <cx:series layoutId="boxWhisker" uniqueId="{00000000-D60C-4F63-8D6C-528E01ABC2CC}">
          <cx:tx>
            <cx:txData>
              <cx:f>_xlchart.v1.0</cx:f>
              <cx:v>Salary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Performance_Score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Performance_Score</a:t>
          </a:r>
        </a:p>
      </cx:txPr>
    </cx:title>
    <cx:plotArea>
      <cx:plotAreaRegion>
        <cx:series layoutId="clusteredColumn" uniqueId="{00000000-253D-4191-9704-344FBE233FAF}">
          <cx:tx>
            <cx:txData>
              <cx:f>_xlchart.v1.4</cx:f>
              <cx:v>Performance_Score</cx:v>
            </cx:txData>
          </cx:tx>
          <cx:dataId val="0"/>
          <cx:layoutPr>
            <cx:binning intervalClosed="r">
              <cx:binSize val="6.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microsoft.com/office/2014/relationships/chartEx" Target="../charts/chartEx3.xml"/><Relationship Id="rId7" Type="http://schemas.openxmlformats.org/officeDocument/2006/relationships/chart" Target="../charts/chart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785812</xdr:colOff>
      <xdr:row>0</xdr:row>
      <xdr:rowOff>0</xdr:rowOff>
    </xdr:from>
    <xdr:to>
      <xdr:col>11</xdr:col>
      <xdr:colOff>114300</xdr:colOff>
      <xdr:row>14</xdr:row>
      <xdr:rowOff>107156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C49D3E9-B08A-4AA3-B104-D0AD160E48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19712" y="0"/>
              <a:ext cx="5310188" cy="26674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31</xdr:row>
      <xdr:rowOff>0</xdr:rowOff>
    </xdr:from>
    <xdr:to>
      <xdr:col>3</xdr:col>
      <xdr:colOff>800100</xdr:colOff>
      <xdr:row>46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DCC585B-FD9D-48F3-8A22-A45CAB3DA2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676900"/>
              <a:ext cx="43053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</xdr:colOff>
      <xdr:row>0</xdr:row>
      <xdr:rowOff>0</xdr:rowOff>
    </xdr:from>
    <xdr:to>
      <xdr:col>4</xdr:col>
      <xdr:colOff>23812</xdr:colOff>
      <xdr:row>14</xdr:row>
      <xdr:rowOff>83342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78DB4BEB-BF76-4575-9CC4-01E9A4A0E4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0"/>
              <a:ext cx="4557711" cy="26436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690562</xdr:colOff>
      <xdr:row>31</xdr:row>
      <xdr:rowOff>9293</xdr:rowOff>
    </xdr:from>
    <xdr:to>
      <xdr:col>11</xdr:col>
      <xdr:colOff>119063</xdr:colOff>
      <xdr:row>46</xdr:row>
      <xdr:rowOff>83634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054C66B-4B35-4BBF-AEA2-E62A5E5658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24462" y="5686193"/>
              <a:ext cx="5410201" cy="28175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57</xdr:row>
      <xdr:rowOff>0</xdr:rowOff>
    </xdr:from>
    <xdr:to>
      <xdr:col>4</xdr:col>
      <xdr:colOff>1150861</xdr:colOff>
      <xdr:row>77</xdr:row>
      <xdr:rowOff>179249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9E0BA20-2073-4AC3-A178-4E932856A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57</xdr:row>
      <xdr:rowOff>0</xdr:rowOff>
    </xdr:from>
    <xdr:to>
      <xdr:col>14</xdr:col>
      <xdr:colOff>43362</xdr:colOff>
      <xdr:row>78</xdr:row>
      <xdr:rowOff>25334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4BA3E5D-20D6-42D2-B3AB-13D1763BC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81</xdr:row>
      <xdr:rowOff>0</xdr:rowOff>
    </xdr:from>
    <xdr:to>
      <xdr:col>4</xdr:col>
      <xdr:colOff>47625</xdr:colOff>
      <xdr:row>97</xdr:row>
      <xdr:rowOff>160020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D1B73F2-DDE6-4023-9141-B8DB6C742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101</xdr:row>
      <xdr:rowOff>0</xdr:rowOff>
    </xdr:from>
    <xdr:to>
      <xdr:col>5</xdr:col>
      <xdr:colOff>369570</xdr:colOff>
      <xdr:row>118</xdr:row>
      <xdr:rowOff>157289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83C7D3-ED1A-497E-9418-7BD0A10F1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Telegram%20Desktop/Exam%20data%20(2).xlsx" TargetMode="External"/><Relationship Id="rId2" Type="http://schemas.openxmlformats.org/officeDocument/2006/relationships/externalLinkPath" Target="file:///C:\Users\ACER\Downloads\Telegram%20Desktop\Exam%20data%20(2).xlsx" TargetMode="External"/><Relationship Id="rId1" Type="http://schemas.openxmlformats.org/officeDocument/2006/relationships/externalLinkPath" Target="/Users/ACER/Downloads/Telegram%20Desktop/Exam%20dat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Sheet3"/>
      <sheetName val="Employee_Data"/>
      <sheetName val="Sheet1"/>
      <sheetName val="Monthly_Sales"/>
    </sheetNames>
    <sheetDataSet>
      <sheetData sheetId="0"/>
      <sheetData sheetId="1"/>
      <sheetData sheetId="2">
        <row r="1">
          <cell r="G1" t="str">
            <v>Salary</v>
          </cell>
          <cell r="H1" t="str">
            <v>Performance_Score</v>
          </cell>
        </row>
        <row r="2">
          <cell r="G2">
            <v>3781</v>
          </cell>
          <cell r="H2">
            <v>65</v>
          </cell>
        </row>
        <row r="3">
          <cell r="G3">
            <v>4015</v>
          </cell>
          <cell r="H3">
            <v>83</v>
          </cell>
        </row>
        <row r="4">
          <cell r="G4">
            <v>3250</v>
          </cell>
          <cell r="H4">
            <v>62</v>
          </cell>
        </row>
        <row r="5">
          <cell r="G5">
            <v>6317</v>
          </cell>
          <cell r="H5">
            <v>81</v>
          </cell>
        </row>
        <row r="6">
          <cell r="G6">
            <v>4866</v>
          </cell>
          <cell r="H6">
            <v>70</v>
          </cell>
        </row>
        <row r="7">
          <cell r="G7">
            <v>3481</v>
          </cell>
          <cell r="H7">
            <v>72</v>
          </cell>
        </row>
        <row r="8">
          <cell r="G8">
            <v>5542</v>
          </cell>
          <cell r="H8">
            <v>60</v>
          </cell>
        </row>
        <row r="9">
          <cell r="G9">
            <v>6013</v>
          </cell>
          <cell r="H9">
            <v>67</v>
          </cell>
        </row>
        <row r="10">
          <cell r="G10">
            <v>5721</v>
          </cell>
          <cell r="H10">
            <v>66</v>
          </cell>
        </row>
        <row r="11">
          <cell r="G11">
            <v>5907</v>
          </cell>
          <cell r="H11">
            <v>58</v>
          </cell>
        </row>
        <row r="12">
          <cell r="G12">
            <v>3105</v>
          </cell>
          <cell r="H12">
            <v>68</v>
          </cell>
        </row>
        <row r="13">
          <cell r="G13">
            <v>4491</v>
          </cell>
          <cell r="H13">
            <v>84</v>
          </cell>
        </row>
        <row r="14">
          <cell r="G14">
            <v>4257</v>
          </cell>
          <cell r="H14">
            <v>66</v>
          </cell>
        </row>
        <row r="15">
          <cell r="G15">
            <v>8148</v>
          </cell>
          <cell r="H15">
            <v>70</v>
          </cell>
        </row>
        <row r="16">
          <cell r="G16">
            <v>6735</v>
          </cell>
          <cell r="H16">
            <v>72</v>
          </cell>
        </row>
        <row r="17">
          <cell r="G17">
            <v>2318</v>
          </cell>
          <cell r="H17">
            <v>70</v>
          </cell>
        </row>
        <row r="18">
          <cell r="G18">
            <v>6922</v>
          </cell>
          <cell r="H18">
            <v>88</v>
          </cell>
        </row>
        <row r="19">
          <cell r="G19">
            <v>2568</v>
          </cell>
          <cell r="H19">
            <v>72</v>
          </cell>
        </row>
        <row r="20">
          <cell r="G20">
            <v>4710</v>
          </cell>
          <cell r="H20">
            <v>59</v>
          </cell>
        </row>
        <row r="21">
          <cell r="G21">
            <v>7101</v>
          </cell>
          <cell r="H21">
            <v>74</v>
          </cell>
        </row>
        <row r="22">
          <cell r="G22">
            <v>6692</v>
          </cell>
          <cell r="H22">
            <v>58</v>
          </cell>
        </row>
        <row r="23">
          <cell r="G23">
            <v>4308</v>
          </cell>
          <cell r="H23">
            <v>70</v>
          </cell>
        </row>
        <row r="24">
          <cell r="G24">
            <v>3119</v>
          </cell>
          <cell r="H24">
            <v>76</v>
          </cell>
        </row>
        <row r="25">
          <cell r="G25">
            <v>5233</v>
          </cell>
          <cell r="H25">
            <v>63</v>
          </cell>
        </row>
        <row r="26">
          <cell r="G26">
            <v>3076</v>
          </cell>
          <cell r="H26">
            <v>82</v>
          </cell>
        </row>
        <row r="27">
          <cell r="G27">
            <v>6663</v>
          </cell>
          <cell r="H27">
            <v>66</v>
          </cell>
        </row>
        <row r="28">
          <cell r="G28">
            <v>5438</v>
          </cell>
          <cell r="H28">
            <v>82</v>
          </cell>
        </row>
        <row r="29">
          <cell r="G29">
            <v>2967</v>
          </cell>
          <cell r="H29">
            <v>65</v>
          </cell>
        </row>
        <row r="30">
          <cell r="G30">
            <v>4980</v>
          </cell>
          <cell r="H30">
            <v>58</v>
          </cell>
        </row>
        <row r="31">
          <cell r="G31">
            <v>5762</v>
          </cell>
          <cell r="H31">
            <v>80</v>
          </cell>
        </row>
        <row r="32">
          <cell r="G32">
            <v>7488</v>
          </cell>
          <cell r="H32">
            <v>59</v>
          </cell>
        </row>
        <row r="33">
          <cell r="G33">
            <v>4221</v>
          </cell>
          <cell r="H33">
            <v>82</v>
          </cell>
        </row>
        <row r="34">
          <cell r="G34">
            <v>5259</v>
          </cell>
          <cell r="H34">
            <v>74</v>
          </cell>
        </row>
        <row r="35">
          <cell r="G35">
            <v>5664</v>
          </cell>
          <cell r="H35">
            <v>66</v>
          </cell>
        </row>
        <row r="36">
          <cell r="G36">
            <v>5407</v>
          </cell>
          <cell r="H36">
            <v>66</v>
          </cell>
        </row>
        <row r="37">
          <cell r="G37">
            <v>5892</v>
          </cell>
          <cell r="H37">
            <v>72</v>
          </cell>
        </row>
        <row r="38">
          <cell r="G38">
            <v>2257</v>
          </cell>
          <cell r="H38">
            <v>86</v>
          </cell>
        </row>
        <row r="39">
          <cell r="G39">
            <v>4526</v>
          </cell>
          <cell r="H39">
            <v>79</v>
          </cell>
        </row>
        <row r="40">
          <cell r="G40">
            <v>3573</v>
          </cell>
          <cell r="H40">
            <v>70</v>
          </cell>
        </row>
        <row r="41">
          <cell r="G41">
            <v>3194</v>
          </cell>
          <cell r="H41">
            <v>71</v>
          </cell>
        </row>
        <row r="42">
          <cell r="G42">
            <v>8045</v>
          </cell>
          <cell r="H42">
            <v>69</v>
          </cell>
        </row>
        <row r="43">
          <cell r="G43">
            <v>5645</v>
          </cell>
          <cell r="H43">
            <v>72</v>
          </cell>
        </row>
        <row r="44">
          <cell r="G44">
            <v>1939</v>
          </cell>
          <cell r="H44">
            <v>84</v>
          </cell>
        </row>
        <row r="45">
          <cell r="G45">
            <v>5768</v>
          </cell>
          <cell r="H45">
            <v>84</v>
          </cell>
        </row>
        <row r="46">
          <cell r="G46">
            <v>7467</v>
          </cell>
          <cell r="H46">
            <v>76</v>
          </cell>
        </row>
        <row r="47">
          <cell r="G47">
            <v>6470</v>
          </cell>
          <cell r="H47">
            <v>59</v>
          </cell>
        </row>
        <row r="48">
          <cell r="G48">
            <v>3245</v>
          </cell>
          <cell r="H48">
            <v>78</v>
          </cell>
        </row>
        <row r="49">
          <cell r="G49">
            <v>3214</v>
          </cell>
          <cell r="H49">
            <v>56</v>
          </cell>
        </row>
        <row r="50">
          <cell r="G50">
            <v>3339</v>
          </cell>
          <cell r="H50">
            <v>80</v>
          </cell>
        </row>
        <row r="51">
          <cell r="G51">
            <v>3599</v>
          </cell>
          <cell r="H51">
            <v>79</v>
          </cell>
        </row>
        <row r="52">
          <cell r="G52">
            <v>6516</v>
          </cell>
          <cell r="H52">
            <v>82</v>
          </cell>
        </row>
        <row r="53">
          <cell r="G53">
            <v>7095</v>
          </cell>
          <cell r="H53">
            <v>72</v>
          </cell>
        </row>
        <row r="54">
          <cell r="G54">
            <v>8603</v>
          </cell>
          <cell r="H54">
            <v>62</v>
          </cell>
        </row>
        <row r="55">
          <cell r="G55">
            <v>7085</v>
          </cell>
          <cell r="H55">
            <v>74</v>
          </cell>
        </row>
        <row r="56">
          <cell r="G56">
            <v>5082</v>
          </cell>
          <cell r="H56">
            <v>76</v>
          </cell>
        </row>
        <row r="57">
          <cell r="G57">
            <v>2330</v>
          </cell>
          <cell r="H57">
            <v>83</v>
          </cell>
        </row>
        <row r="58">
          <cell r="G58">
            <v>5720</v>
          </cell>
          <cell r="H58">
            <v>63</v>
          </cell>
        </row>
        <row r="59">
          <cell r="G59">
            <v>2688</v>
          </cell>
          <cell r="H59">
            <v>74</v>
          </cell>
        </row>
        <row r="60">
          <cell r="G60">
            <v>4366</v>
          </cell>
          <cell r="H60">
            <v>62</v>
          </cell>
        </row>
        <row r="61">
          <cell r="G61">
            <v>4370</v>
          </cell>
          <cell r="H61">
            <v>81</v>
          </cell>
        </row>
        <row r="62">
          <cell r="G62">
            <v>6214</v>
          </cell>
          <cell r="H62">
            <v>92</v>
          </cell>
        </row>
        <row r="63">
          <cell r="G63">
            <v>4548</v>
          </cell>
          <cell r="H63">
            <v>70</v>
          </cell>
        </row>
        <row r="64">
          <cell r="G64">
            <v>2263</v>
          </cell>
          <cell r="H64">
            <v>74</v>
          </cell>
        </row>
        <row r="65">
          <cell r="G65">
            <v>3841</v>
          </cell>
          <cell r="H65">
            <v>70</v>
          </cell>
        </row>
        <row r="66">
          <cell r="G66">
            <v>4267</v>
          </cell>
          <cell r="H66">
            <v>88</v>
          </cell>
        </row>
        <row r="67">
          <cell r="G67">
            <v>7771</v>
          </cell>
          <cell r="H67">
            <v>55</v>
          </cell>
        </row>
        <row r="68">
          <cell r="G68">
            <v>3422</v>
          </cell>
          <cell r="H68">
            <v>83</v>
          </cell>
        </row>
        <row r="69">
          <cell r="G69">
            <v>5514</v>
          </cell>
          <cell r="H69">
            <v>82</v>
          </cell>
        </row>
        <row r="70">
          <cell r="G70">
            <v>4407</v>
          </cell>
          <cell r="H70">
            <v>84</v>
          </cell>
        </row>
        <row r="71">
          <cell r="G71">
            <v>6862</v>
          </cell>
          <cell r="H71">
            <v>84</v>
          </cell>
        </row>
        <row r="72">
          <cell r="G72">
            <v>4692</v>
          </cell>
          <cell r="H72">
            <v>64</v>
          </cell>
        </row>
        <row r="73">
          <cell r="G73">
            <v>4958</v>
          </cell>
          <cell r="H73">
            <v>92</v>
          </cell>
        </row>
        <row r="74">
          <cell r="G74">
            <v>5106</v>
          </cell>
          <cell r="H74">
            <v>88</v>
          </cell>
        </row>
        <row r="75">
          <cell r="G75">
            <v>9356</v>
          </cell>
          <cell r="H75">
            <v>84</v>
          </cell>
        </row>
        <row r="76">
          <cell r="G76">
            <v>7160</v>
          </cell>
          <cell r="H76">
            <v>68</v>
          </cell>
        </row>
        <row r="77">
          <cell r="G77">
            <v>3622</v>
          </cell>
          <cell r="H77">
            <v>66</v>
          </cell>
        </row>
        <row r="78">
          <cell r="G78">
            <v>7108</v>
          </cell>
          <cell r="H78">
            <v>59</v>
          </cell>
        </row>
        <row r="79">
          <cell r="G79">
            <v>4077</v>
          </cell>
          <cell r="H79">
            <v>72</v>
          </cell>
        </row>
        <row r="80">
          <cell r="G80">
            <v>4395</v>
          </cell>
          <cell r="H80">
            <v>64</v>
          </cell>
        </row>
        <row r="81">
          <cell r="G81">
            <v>5297</v>
          </cell>
          <cell r="H81">
            <v>58</v>
          </cell>
        </row>
        <row r="82">
          <cell r="G82">
            <v>5628</v>
          </cell>
          <cell r="H82">
            <v>74</v>
          </cell>
        </row>
        <row r="83">
          <cell r="G83">
            <v>5615</v>
          </cell>
          <cell r="H83">
            <v>74</v>
          </cell>
        </row>
        <row r="84">
          <cell r="G84">
            <v>5124</v>
          </cell>
          <cell r="H84">
            <v>66</v>
          </cell>
        </row>
        <row r="85">
          <cell r="G85">
            <v>3654</v>
          </cell>
          <cell r="H85">
            <v>80</v>
          </cell>
        </row>
        <row r="86">
          <cell r="G86">
            <v>5803</v>
          </cell>
          <cell r="H86">
            <v>63</v>
          </cell>
        </row>
        <row r="87">
          <cell r="G87">
            <v>6397</v>
          </cell>
          <cell r="H87">
            <v>58</v>
          </cell>
        </row>
        <row r="88">
          <cell r="G88">
            <v>5567</v>
          </cell>
          <cell r="H88">
            <v>78</v>
          </cell>
        </row>
        <row r="89">
          <cell r="G89">
            <v>8183</v>
          </cell>
          <cell r="H89">
            <v>60</v>
          </cell>
        </row>
        <row r="90">
          <cell r="G90">
            <v>4765</v>
          </cell>
          <cell r="H90">
            <v>85</v>
          </cell>
        </row>
        <row r="91">
          <cell r="G91">
            <v>4331</v>
          </cell>
          <cell r="H91">
            <v>65</v>
          </cell>
        </row>
        <row r="92">
          <cell r="G92">
            <v>3459</v>
          </cell>
          <cell r="H92">
            <v>59</v>
          </cell>
        </row>
        <row r="93">
          <cell r="G93">
            <v>3422</v>
          </cell>
          <cell r="H93">
            <v>60</v>
          </cell>
        </row>
        <row r="94">
          <cell r="G94">
            <v>5355</v>
          </cell>
          <cell r="H94">
            <v>80</v>
          </cell>
        </row>
        <row r="95">
          <cell r="G95">
            <v>2586</v>
          </cell>
          <cell r="H95">
            <v>87</v>
          </cell>
        </row>
        <row r="96">
          <cell r="G96">
            <v>4412</v>
          </cell>
          <cell r="H96">
            <v>65</v>
          </cell>
        </row>
        <row r="97">
          <cell r="G97">
            <v>3965</v>
          </cell>
          <cell r="H97">
            <v>60</v>
          </cell>
        </row>
        <row r="98">
          <cell r="G98">
            <v>6514</v>
          </cell>
          <cell r="H98">
            <v>72</v>
          </cell>
        </row>
        <row r="99">
          <cell r="G99">
            <v>5478</v>
          </cell>
          <cell r="H99">
            <v>82</v>
          </cell>
        </row>
        <row r="100">
          <cell r="G100">
            <v>3616</v>
          </cell>
          <cell r="H100">
            <v>64</v>
          </cell>
        </row>
        <row r="101">
          <cell r="G101">
            <v>5520</v>
          </cell>
          <cell r="H101">
            <v>79</v>
          </cell>
        </row>
        <row r="102">
          <cell r="G102">
            <v>4356</v>
          </cell>
          <cell r="H102">
            <v>76</v>
          </cell>
        </row>
        <row r="103">
          <cell r="G103">
            <v>3169</v>
          </cell>
          <cell r="H103">
            <v>60</v>
          </cell>
        </row>
        <row r="104">
          <cell r="G104">
            <v>3374</v>
          </cell>
          <cell r="H104">
            <v>82</v>
          </cell>
        </row>
        <row r="105">
          <cell r="G105">
            <v>4612</v>
          </cell>
          <cell r="H105">
            <v>58</v>
          </cell>
        </row>
        <row r="106">
          <cell r="G106">
            <v>8002</v>
          </cell>
          <cell r="H106">
            <v>66</v>
          </cell>
        </row>
        <row r="107">
          <cell r="G107">
            <v>2928</v>
          </cell>
          <cell r="H107">
            <v>72</v>
          </cell>
        </row>
        <row r="108">
          <cell r="G108">
            <v>3043</v>
          </cell>
          <cell r="H108">
            <v>74</v>
          </cell>
        </row>
        <row r="109">
          <cell r="G109">
            <v>2917</v>
          </cell>
          <cell r="H109">
            <v>82</v>
          </cell>
        </row>
        <row r="110">
          <cell r="G110">
            <v>4790</v>
          </cell>
          <cell r="H110">
            <v>63</v>
          </cell>
        </row>
        <row r="111">
          <cell r="G111">
            <v>5331</v>
          </cell>
          <cell r="H111">
            <v>68</v>
          </cell>
        </row>
        <row r="112">
          <cell r="G112">
            <v>5269</v>
          </cell>
          <cell r="H112">
            <v>70</v>
          </cell>
        </row>
        <row r="113">
          <cell r="G113">
            <v>4130</v>
          </cell>
          <cell r="H113">
            <v>76</v>
          </cell>
        </row>
        <row r="114">
          <cell r="G114">
            <v>5799</v>
          </cell>
          <cell r="H114">
            <v>62</v>
          </cell>
        </row>
        <row r="115">
          <cell r="G115">
            <v>4890</v>
          </cell>
          <cell r="H115">
            <v>64</v>
          </cell>
        </row>
        <row r="116">
          <cell r="G116">
            <v>4826</v>
          </cell>
          <cell r="H116">
            <v>64</v>
          </cell>
        </row>
        <row r="117">
          <cell r="G117">
            <v>8022</v>
          </cell>
          <cell r="H117">
            <v>78</v>
          </cell>
        </row>
        <row r="118">
          <cell r="G118">
            <v>3640</v>
          </cell>
          <cell r="H118">
            <v>66</v>
          </cell>
        </row>
        <row r="119">
          <cell r="G119">
            <v>3989</v>
          </cell>
          <cell r="H119">
            <v>64</v>
          </cell>
        </row>
        <row r="120">
          <cell r="G120">
            <v>2865</v>
          </cell>
          <cell r="H120">
            <v>64</v>
          </cell>
        </row>
        <row r="121">
          <cell r="G121">
            <v>8619</v>
          </cell>
          <cell r="H121">
            <v>64</v>
          </cell>
        </row>
        <row r="122">
          <cell r="G122">
            <v>3344</v>
          </cell>
          <cell r="H122">
            <v>86</v>
          </cell>
        </row>
        <row r="123">
          <cell r="G123">
            <v>8716</v>
          </cell>
          <cell r="H123">
            <v>84</v>
          </cell>
        </row>
        <row r="124">
          <cell r="G124">
            <v>4710</v>
          </cell>
          <cell r="H124">
            <v>68</v>
          </cell>
        </row>
        <row r="125">
          <cell r="G125">
            <v>3844</v>
          </cell>
          <cell r="H125">
            <v>83</v>
          </cell>
        </row>
        <row r="126">
          <cell r="G126">
            <v>6169</v>
          </cell>
          <cell r="H126">
            <v>67</v>
          </cell>
        </row>
        <row r="127">
          <cell r="G127">
            <v>6468</v>
          </cell>
          <cell r="H127">
            <v>60</v>
          </cell>
        </row>
        <row r="128">
          <cell r="G128">
            <v>7358</v>
          </cell>
          <cell r="H128">
            <v>76</v>
          </cell>
        </row>
        <row r="129">
          <cell r="G129">
            <v>4668</v>
          </cell>
          <cell r="H129">
            <v>59</v>
          </cell>
        </row>
        <row r="130">
          <cell r="G130">
            <v>5595</v>
          </cell>
          <cell r="H130">
            <v>92</v>
          </cell>
        </row>
        <row r="131">
          <cell r="G131">
            <v>3346</v>
          </cell>
          <cell r="H131">
            <v>81</v>
          </cell>
        </row>
        <row r="132">
          <cell r="G132">
            <v>3872</v>
          </cell>
          <cell r="H132">
            <v>90</v>
          </cell>
        </row>
        <row r="133">
          <cell r="G133">
            <v>2897</v>
          </cell>
          <cell r="H133">
            <v>78</v>
          </cell>
        </row>
        <row r="134">
          <cell r="G134">
            <v>3355</v>
          </cell>
          <cell r="H134">
            <v>82</v>
          </cell>
        </row>
        <row r="135">
          <cell r="G135">
            <v>4969</v>
          </cell>
          <cell r="H135">
            <v>60</v>
          </cell>
        </row>
        <row r="136">
          <cell r="G136">
            <v>3732</v>
          </cell>
          <cell r="H136">
            <v>79</v>
          </cell>
        </row>
        <row r="137">
          <cell r="G137">
            <v>5922</v>
          </cell>
          <cell r="H137">
            <v>70</v>
          </cell>
        </row>
        <row r="138">
          <cell r="G138">
            <v>2989</v>
          </cell>
          <cell r="H138">
            <v>64</v>
          </cell>
        </row>
        <row r="139">
          <cell r="G139">
            <v>4485</v>
          </cell>
          <cell r="H139">
            <v>62</v>
          </cell>
        </row>
        <row r="140">
          <cell r="G140">
            <v>4268</v>
          </cell>
          <cell r="H140">
            <v>68</v>
          </cell>
        </row>
        <row r="141">
          <cell r="G141">
            <v>3188</v>
          </cell>
          <cell r="H141">
            <v>86</v>
          </cell>
        </row>
        <row r="142">
          <cell r="G142">
            <v>5837</v>
          </cell>
          <cell r="H142">
            <v>70</v>
          </cell>
        </row>
        <row r="143">
          <cell r="G143">
            <v>4144</v>
          </cell>
          <cell r="H143">
            <v>85</v>
          </cell>
        </row>
        <row r="144">
          <cell r="G144">
            <v>3267</v>
          </cell>
          <cell r="H144">
            <v>83</v>
          </cell>
        </row>
        <row r="145">
          <cell r="G145">
            <v>3792</v>
          </cell>
          <cell r="H145">
            <v>68</v>
          </cell>
        </row>
        <row r="146">
          <cell r="G146">
            <v>4356</v>
          </cell>
          <cell r="H146">
            <v>73</v>
          </cell>
        </row>
        <row r="147">
          <cell r="G147">
            <v>5159</v>
          </cell>
          <cell r="H147">
            <v>68</v>
          </cell>
        </row>
        <row r="148">
          <cell r="G148">
            <v>3245</v>
          </cell>
          <cell r="H148">
            <v>88</v>
          </cell>
        </row>
        <row r="149">
          <cell r="G149">
            <v>6694</v>
          </cell>
          <cell r="H149">
            <v>58</v>
          </cell>
        </row>
        <row r="150">
          <cell r="G150">
            <v>4080</v>
          </cell>
          <cell r="H150">
            <v>67</v>
          </cell>
        </row>
        <row r="151">
          <cell r="G151">
            <v>2999</v>
          </cell>
          <cell r="H151">
            <v>84</v>
          </cell>
        </row>
      </sheetData>
      <sheetData sheetId="3"/>
      <sheetData sheetId="4"/>
    </sheetDataSet>
  </externalBook>
</externalLink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79.528487152777" backgroundQuery="1" createdVersion="8" refreshedVersion="8" minRefreshableVersion="3" recordCount="0" supportSubquery="1" supportAdvancedDrill="1" xr:uid="{9FBFA905-FD10-4D82-A392-1B12B7F6F24D}">
  <cacheSource type="external" connectionId="1"/>
  <cacheFields count="3">
    <cacheField name="[Range].[Website_Group].[Website_Group]" caption="Website_Group" numFmtId="0" level="1">
      <sharedItems count="2">
        <s v="A"/>
        <s v="B"/>
      </sharedItems>
    </cacheField>
    <cacheField name="[Measures].[Count of Conversion]" caption="Count of Conversion" numFmtId="0" hierarchy="5" level="32767"/>
    <cacheField name="[Range].[Conversion].[Conversion]" caption="Conversion" numFmtId="0" hierarchy="1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Range].[Conversion].&amp;[0]"/>
            <x15:cachedUniqueName index="1" name="[Range].[Conversion].&amp;[1]"/>
          </x15:cachedUniqueNames>
        </ext>
      </extLst>
    </cacheField>
  </cacheFields>
  <cacheHierarchies count="6">
    <cacheHierarchy uniqueName="[Range].[Website_Group]" caption="Website_Group" attribute="1" defaultMemberUniqueName="[Range].[Website_Group].[All]" allUniqueName="[Range].[Website_Group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nversion]" caption="Conversion" attribute="1" defaultMemberUniqueName="[Range].[Conversion].[All]" allUniqueName="[Range].[Conversion].[All]" dimensionUniqueName="[Range]" displayFolder="" count="2" memberValueDatatype="20" unbalanced="0">
      <fieldsUsage count="2">
        <fieldUsage x="-1"/>
        <fieldUsage x="2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onversion]" caption="Sum of Conversion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nversion]" caption="Count of Convers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79.528487384261" createdVersion="8" refreshedVersion="8" minRefreshableVersion="3" recordCount="150" xr:uid="{6F265953-A80A-448F-B008-FC467DD77582}">
  <cacheSource type="worksheet">
    <worksheetSource ref="A1:L151" sheet="data"/>
  </cacheSource>
  <cacheFields count="12">
    <cacheField name="Employee_ID" numFmtId="0">
      <sharedItems containsSemiMixedTypes="0" containsString="0" containsNumber="1" containsInteger="1" minValue="1" maxValue="150"/>
    </cacheField>
    <cacheField name="Department" numFmtId="0">
      <sharedItems/>
    </cacheField>
    <cacheField name="Age" numFmtId="0">
      <sharedItems containsSemiMixedTypes="0" containsString="0" containsNumber="1" containsInteger="1" minValue="22" maxValue="58"/>
    </cacheField>
    <cacheField name="Experience" numFmtId="0">
      <sharedItems containsSemiMixedTypes="0" containsString="0" containsNumber="1" containsInteger="1" minValue="0" maxValue="34"/>
    </cacheField>
    <cacheField name="Education_Level" numFmtId="0">
      <sharedItems containsSemiMixedTypes="0" containsString="0" containsNumber="1" containsInteger="1" minValue="1" maxValue="3"/>
    </cacheField>
    <cacheField name="Training_Hours" numFmtId="0">
      <sharedItems containsSemiMixedTypes="0" containsString="0" containsNumber="1" containsInteger="1" minValue="5" maxValue="30"/>
    </cacheField>
    <cacheField name="Salary" numFmtId="0">
      <sharedItems containsSemiMixedTypes="0" containsString="0" containsNumber="1" containsInteger="1" minValue="1939" maxValue="9356"/>
    </cacheField>
    <cacheField name="Performance_Score" numFmtId="0">
      <sharedItems containsSemiMixedTypes="0" containsString="0" containsNumber="1" containsInteger="1" minValue="55" maxValue="92"/>
    </cacheField>
    <cacheField name="Before_Training" numFmtId="0">
      <sharedItems containsSemiMixedTypes="0" containsString="0" containsNumber="1" containsInteger="1" minValue="55" maxValue="88"/>
    </cacheField>
    <cacheField name="After_Training" numFmtId="0">
      <sharedItems containsSemiMixedTypes="0" containsString="0" containsNumber="1" containsInteger="1" minValue="57" maxValue="96"/>
    </cacheField>
    <cacheField name="Website_Group" numFmtId="0">
      <sharedItems count="2">
        <s v="A"/>
        <s v="B"/>
      </sharedItems>
    </cacheField>
    <cacheField name="Conversio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s v="Sales"/>
    <n v="29"/>
    <n v="0"/>
    <n v="3"/>
    <n v="13"/>
    <n v="3781"/>
    <n v="65"/>
    <n v="60"/>
    <n v="70"/>
    <x v="0"/>
    <n v="1"/>
  </r>
  <r>
    <n v="2"/>
    <s v="Sales"/>
    <n v="35"/>
    <n v="3"/>
    <n v="2"/>
    <n v="24"/>
    <n v="4015"/>
    <n v="83"/>
    <n v="81"/>
    <n v="85"/>
    <x v="1"/>
    <n v="0"/>
  </r>
  <r>
    <n v="3"/>
    <s v="HR"/>
    <n v="22"/>
    <n v="0"/>
    <n v="3"/>
    <n v="18"/>
    <n v="3250"/>
    <n v="62"/>
    <n v="61"/>
    <n v="63"/>
    <x v="0"/>
    <n v="0"/>
  </r>
  <r>
    <n v="4"/>
    <s v="Sales"/>
    <n v="44"/>
    <n v="19"/>
    <n v="1"/>
    <n v="30"/>
    <n v="6317"/>
    <n v="81"/>
    <n v="79"/>
    <n v="81"/>
    <x v="1"/>
    <n v="0"/>
  </r>
  <r>
    <n v="5"/>
    <s v="Sales"/>
    <n v="45"/>
    <n v="18"/>
    <n v="1"/>
    <n v="27"/>
    <n v="4866"/>
    <n v="70"/>
    <n v="69"/>
    <n v="71"/>
    <x v="1"/>
    <n v="1"/>
  </r>
  <r>
    <n v="6"/>
    <s v="Sales"/>
    <n v="45"/>
    <n v="5"/>
    <n v="1"/>
    <n v="16"/>
    <n v="3481"/>
    <n v="72"/>
    <n v="65"/>
    <n v="74"/>
    <x v="0"/>
    <n v="1"/>
  </r>
  <r>
    <n v="7"/>
    <s v="IT"/>
    <n v="46"/>
    <n v="8"/>
    <n v="3"/>
    <n v="27"/>
    <n v="5542"/>
    <n v="60"/>
    <n v="57"/>
    <n v="63"/>
    <x v="1"/>
    <n v="1"/>
  </r>
  <r>
    <n v="8"/>
    <s v="HR"/>
    <n v="58"/>
    <n v="20"/>
    <n v="1"/>
    <n v="25"/>
    <n v="6013"/>
    <n v="67"/>
    <n v="63"/>
    <n v="67"/>
    <x v="1"/>
    <n v="0"/>
  </r>
  <r>
    <n v="9"/>
    <s v="Sales"/>
    <n v="49"/>
    <n v="18"/>
    <n v="2"/>
    <n v="16"/>
    <n v="5721"/>
    <n v="66"/>
    <n v="62"/>
    <n v="65"/>
    <x v="0"/>
    <n v="0"/>
  </r>
  <r>
    <n v="10"/>
    <s v="HR"/>
    <n v="49"/>
    <n v="19"/>
    <n v="1"/>
    <n v="17"/>
    <n v="5907"/>
    <n v="58"/>
    <n v="55"/>
    <n v="57"/>
    <x v="1"/>
    <n v="0"/>
  </r>
  <r>
    <n v="11"/>
    <s v="Sales"/>
    <n v="43"/>
    <n v="3"/>
    <n v="1"/>
    <n v="18"/>
    <n v="3105"/>
    <n v="68"/>
    <n v="66"/>
    <n v="75"/>
    <x v="1"/>
    <n v="0"/>
  </r>
  <r>
    <n v="12"/>
    <s v="Sales"/>
    <n v="54"/>
    <n v="12"/>
    <n v="1"/>
    <n v="16"/>
    <n v="4491"/>
    <n v="84"/>
    <n v="86"/>
    <n v="87"/>
    <x v="1"/>
    <n v="0"/>
  </r>
  <r>
    <n v="13"/>
    <s v="IT"/>
    <n v="41"/>
    <n v="7"/>
    <n v="1"/>
    <n v="12"/>
    <n v="4257"/>
    <n v="66"/>
    <n v="59"/>
    <n v="68"/>
    <x v="0"/>
    <n v="1"/>
  </r>
  <r>
    <n v="14"/>
    <s v="HR"/>
    <n v="52"/>
    <n v="30"/>
    <n v="2"/>
    <n v="10"/>
    <n v="8148"/>
    <n v="70"/>
    <n v="67"/>
    <n v="72"/>
    <x v="1"/>
    <n v="1"/>
  </r>
  <r>
    <n v="15"/>
    <s v="Sales"/>
    <n v="55"/>
    <n v="28"/>
    <n v="1"/>
    <n v="12"/>
    <n v="6735"/>
    <n v="72"/>
    <n v="69"/>
    <n v="79"/>
    <x v="0"/>
    <n v="1"/>
  </r>
  <r>
    <n v="16"/>
    <s v="HR"/>
    <n v="25"/>
    <n v="1"/>
    <n v="1"/>
    <n v="6"/>
    <n v="2318"/>
    <n v="70"/>
    <n v="68"/>
    <n v="77"/>
    <x v="1"/>
    <n v="1"/>
  </r>
  <r>
    <n v="17"/>
    <s v="Sales"/>
    <n v="52"/>
    <n v="25"/>
    <n v="2"/>
    <n v="11"/>
    <n v="6922"/>
    <n v="88"/>
    <n v="81"/>
    <n v="89"/>
    <x v="0"/>
    <n v="0"/>
  </r>
  <r>
    <n v="18"/>
    <s v="HR"/>
    <n v="28"/>
    <n v="0"/>
    <n v="2"/>
    <n v="28"/>
    <n v="2568"/>
    <n v="72"/>
    <n v="67"/>
    <n v="76"/>
    <x v="0"/>
    <n v="0"/>
  </r>
  <r>
    <n v="19"/>
    <s v="HR"/>
    <n v="39"/>
    <n v="14"/>
    <n v="1"/>
    <n v="7"/>
    <n v="4710"/>
    <n v="59"/>
    <n v="55"/>
    <n v="57"/>
    <x v="0"/>
    <n v="1"/>
  </r>
  <r>
    <n v="20"/>
    <s v="Sales"/>
    <n v="53"/>
    <n v="30"/>
    <n v="1"/>
    <n v="17"/>
    <n v="7101"/>
    <n v="74"/>
    <n v="71"/>
    <n v="79"/>
    <x v="1"/>
    <n v="0"/>
  </r>
  <r>
    <n v="21"/>
    <s v="HR"/>
    <n v="57"/>
    <n v="31"/>
    <n v="1"/>
    <n v="11"/>
    <n v="6692"/>
    <n v="58"/>
    <n v="58"/>
    <n v="64"/>
    <x v="0"/>
    <n v="0"/>
  </r>
  <r>
    <n v="22"/>
    <s v="Sales"/>
    <n v="54"/>
    <n v="10"/>
    <n v="1"/>
    <n v="21"/>
    <n v="4308"/>
    <n v="70"/>
    <n v="70"/>
    <n v="77"/>
    <x v="0"/>
    <n v="0"/>
  </r>
  <r>
    <n v="23"/>
    <s v="IT"/>
    <n v="24"/>
    <n v="2"/>
    <n v="1"/>
    <n v="18"/>
    <n v="3119"/>
    <n v="76"/>
    <n v="75"/>
    <n v="79"/>
    <x v="1"/>
    <n v="1"/>
  </r>
  <r>
    <n v="24"/>
    <s v="Sales"/>
    <n v="41"/>
    <n v="14"/>
    <n v="1"/>
    <n v="29"/>
    <n v="5233"/>
    <n v="63"/>
    <n v="61"/>
    <n v="63"/>
    <x v="0"/>
    <n v="0"/>
  </r>
  <r>
    <n v="25"/>
    <s v="HR"/>
    <n v="30"/>
    <n v="5"/>
    <n v="1"/>
    <n v="12"/>
    <n v="3076"/>
    <n v="82"/>
    <n v="74"/>
    <n v="84"/>
    <x v="0"/>
    <n v="0"/>
  </r>
  <r>
    <n v="26"/>
    <s v="Sales"/>
    <n v="57"/>
    <n v="19"/>
    <n v="3"/>
    <n v="8"/>
    <n v="6663"/>
    <n v="66"/>
    <n v="64"/>
    <n v="69"/>
    <x v="0"/>
    <n v="0"/>
  </r>
  <r>
    <n v="27"/>
    <s v="IT"/>
    <n v="35"/>
    <n v="10"/>
    <n v="3"/>
    <n v="13"/>
    <n v="5438"/>
    <n v="82"/>
    <n v="82"/>
    <n v="87"/>
    <x v="0"/>
    <n v="1"/>
  </r>
  <r>
    <n v="28"/>
    <s v="HR"/>
    <n v="30"/>
    <n v="4"/>
    <n v="1"/>
    <n v="28"/>
    <n v="2967"/>
    <n v="65"/>
    <n v="62"/>
    <n v="64"/>
    <x v="0"/>
    <n v="0"/>
  </r>
  <r>
    <n v="29"/>
    <s v="HR"/>
    <n v="45"/>
    <n v="18"/>
    <n v="2"/>
    <n v="9"/>
    <n v="4980"/>
    <n v="58"/>
    <n v="57"/>
    <n v="63"/>
    <x v="0"/>
    <n v="0"/>
  </r>
  <r>
    <n v="30"/>
    <s v="IT"/>
    <n v="44"/>
    <n v="17"/>
    <n v="2"/>
    <n v="24"/>
    <n v="5762"/>
    <n v="80"/>
    <n v="81"/>
    <n v="82"/>
    <x v="1"/>
    <n v="0"/>
  </r>
  <r>
    <n v="31"/>
    <s v="Sales"/>
    <n v="48"/>
    <n v="25"/>
    <n v="3"/>
    <n v="28"/>
    <n v="7488"/>
    <n v="59"/>
    <n v="57"/>
    <n v="65"/>
    <x v="0"/>
    <n v="0"/>
  </r>
  <r>
    <n v="32"/>
    <s v="Sales"/>
    <n v="51"/>
    <n v="11"/>
    <n v="1"/>
    <n v="30"/>
    <n v="4221"/>
    <n v="82"/>
    <n v="80"/>
    <n v="86"/>
    <x v="0"/>
    <n v="0"/>
  </r>
  <r>
    <n v="33"/>
    <s v="HR"/>
    <n v="39"/>
    <n v="11"/>
    <n v="3"/>
    <n v="21"/>
    <n v="5259"/>
    <n v="74"/>
    <n v="71"/>
    <n v="74"/>
    <x v="1"/>
    <n v="1"/>
  </r>
  <r>
    <n v="34"/>
    <s v="HR"/>
    <n v="49"/>
    <n v="11"/>
    <n v="3"/>
    <n v="30"/>
    <n v="5664"/>
    <n v="66"/>
    <n v="67"/>
    <n v="72"/>
    <x v="1"/>
    <n v="1"/>
  </r>
  <r>
    <n v="35"/>
    <s v="Sales"/>
    <n v="56"/>
    <n v="12"/>
    <n v="1"/>
    <n v="18"/>
    <n v="5407"/>
    <n v="66"/>
    <n v="62"/>
    <n v="67"/>
    <x v="1"/>
    <n v="0"/>
  </r>
  <r>
    <n v="36"/>
    <s v="IT"/>
    <n v="42"/>
    <n v="12"/>
    <n v="3"/>
    <n v="14"/>
    <n v="5892"/>
    <n v="72"/>
    <n v="66"/>
    <n v="76"/>
    <x v="1"/>
    <n v="1"/>
  </r>
  <r>
    <n v="37"/>
    <s v="HR"/>
    <n v="22"/>
    <n v="0"/>
    <n v="1"/>
    <n v="11"/>
    <n v="2257"/>
    <n v="86"/>
    <n v="83"/>
    <n v="87"/>
    <x v="1"/>
    <n v="0"/>
  </r>
  <r>
    <n v="38"/>
    <s v="IT"/>
    <n v="32"/>
    <n v="10"/>
    <n v="1"/>
    <n v="14"/>
    <n v="4526"/>
    <n v="79"/>
    <n v="74"/>
    <n v="78"/>
    <x v="0"/>
    <n v="1"/>
  </r>
  <r>
    <n v="39"/>
    <s v="Sales"/>
    <n v="24"/>
    <n v="0"/>
    <n v="2"/>
    <n v="24"/>
    <n v="3573"/>
    <n v="70"/>
    <n v="67"/>
    <n v="74"/>
    <x v="1"/>
    <n v="1"/>
  </r>
  <r>
    <n v="40"/>
    <s v="Sales"/>
    <n v="22"/>
    <n v="0"/>
    <n v="2"/>
    <n v="12"/>
    <n v="3194"/>
    <n v="71"/>
    <n v="70"/>
    <n v="72"/>
    <x v="0"/>
    <n v="0"/>
  </r>
  <r>
    <n v="41"/>
    <s v="IT"/>
    <n v="55"/>
    <n v="20"/>
    <n v="2"/>
    <n v="24"/>
    <n v="8045"/>
    <n v="69"/>
    <n v="65"/>
    <n v="73"/>
    <x v="1"/>
    <n v="0"/>
  </r>
  <r>
    <n v="42"/>
    <s v="Sales"/>
    <n v="39"/>
    <n v="16"/>
    <n v="2"/>
    <n v="25"/>
    <n v="5645"/>
    <n v="72"/>
    <n v="70"/>
    <n v="75"/>
    <x v="1"/>
    <n v="0"/>
  </r>
  <r>
    <n v="43"/>
    <s v="HR"/>
    <n v="27"/>
    <n v="1"/>
    <n v="1"/>
    <n v="12"/>
    <n v="1939"/>
    <n v="84"/>
    <n v="81"/>
    <n v="88"/>
    <x v="1"/>
    <n v="1"/>
  </r>
  <r>
    <n v="44"/>
    <s v="IT"/>
    <n v="35"/>
    <n v="13"/>
    <n v="2"/>
    <n v="17"/>
    <n v="5768"/>
    <n v="84"/>
    <n v="85"/>
    <n v="86"/>
    <x v="1"/>
    <n v="0"/>
  </r>
  <r>
    <n v="45"/>
    <s v="IT"/>
    <n v="48"/>
    <n v="17"/>
    <n v="3"/>
    <n v="28"/>
    <n v="7467"/>
    <n v="76"/>
    <n v="72"/>
    <n v="79"/>
    <x v="0"/>
    <n v="0"/>
  </r>
  <r>
    <n v="46"/>
    <s v="Sales"/>
    <n v="47"/>
    <n v="23"/>
    <n v="1"/>
    <n v="19"/>
    <n v="6470"/>
    <n v="59"/>
    <n v="56"/>
    <n v="58"/>
    <x v="1"/>
    <n v="1"/>
  </r>
  <r>
    <n v="47"/>
    <s v="HR"/>
    <n v="51"/>
    <n v="5"/>
    <n v="1"/>
    <n v="13"/>
    <n v="3245"/>
    <n v="78"/>
    <n v="76"/>
    <n v="83"/>
    <x v="1"/>
    <n v="1"/>
  </r>
  <r>
    <n v="48"/>
    <s v="IT"/>
    <n v="27"/>
    <n v="3"/>
    <n v="1"/>
    <n v="28"/>
    <n v="3214"/>
    <n v="56"/>
    <n v="57"/>
    <n v="58"/>
    <x v="0"/>
    <n v="0"/>
  </r>
  <r>
    <n v="49"/>
    <s v="IT"/>
    <n v="31"/>
    <n v="3"/>
    <n v="1"/>
    <n v="20"/>
    <n v="3339"/>
    <n v="80"/>
    <n v="78"/>
    <n v="81"/>
    <x v="0"/>
    <n v="0"/>
  </r>
  <r>
    <n v="50"/>
    <s v="Sales"/>
    <n v="32"/>
    <n v="4"/>
    <n v="1"/>
    <n v="23"/>
    <n v="3599"/>
    <n v="79"/>
    <n v="80"/>
    <n v="84"/>
    <x v="0"/>
    <n v="1"/>
  </r>
  <r>
    <n v="51"/>
    <s v="IT"/>
    <n v="41"/>
    <n v="19"/>
    <n v="1"/>
    <n v="30"/>
    <n v="6516"/>
    <n v="82"/>
    <n v="82"/>
    <n v="88"/>
    <x v="1"/>
    <n v="1"/>
  </r>
  <r>
    <n v="52"/>
    <s v="HR"/>
    <n v="48"/>
    <n v="26"/>
    <n v="2"/>
    <n v="8"/>
    <n v="7095"/>
    <n v="72"/>
    <n v="66"/>
    <n v="75"/>
    <x v="1"/>
    <n v="0"/>
  </r>
  <r>
    <n v="53"/>
    <s v="IT"/>
    <n v="56"/>
    <n v="30"/>
    <n v="2"/>
    <n v="18"/>
    <n v="8603"/>
    <n v="62"/>
    <n v="60"/>
    <n v="65"/>
    <x v="0"/>
    <n v="0"/>
  </r>
  <r>
    <n v="54"/>
    <s v="HR"/>
    <n v="58"/>
    <n v="24"/>
    <n v="1"/>
    <n v="5"/>
    <n v="7085"/>
    <n v="74"/>
    <n v="68"/>
    <n v="74"/>
    <x v="1"/>
    <n v="1"/>
  </r>
  <r>
    <n v="55"/>
    <s v="Sales"/>
    <n v="39"/>
    <n v="17"/>
    <n v="1"/>
    <n v="21"/>
    <n v="5082"/>
    <n v="76"/>
    <n v="70"/>
    <n v="78"/>
    <x v="1"/>
    <n v="1"/>
  </r>
  <r>
    <n v="56"/>
    <s v="HR"/>
    <n v="23"/>
    <n v="0"/>
    <n v="1"/>
    <n v="12"/>
    <n v="2330"/>
    <n v="83"/>
    <n v="78"/>
    <n v="86"/>
    <x v="1"/>
    <n v="1"/>
  </r>
  <r>
    <n v="57"/>
    <s v="HR"/>
    <n v="57"/>
    <n v="21"/>
    <n v="1"/>
    <n v="27"/>
    <n v="5720"/>
    <n v="63"/>
    <n v="62"/>
    <n v="66"/>
    <x v="0"/>
    <n v="0"/>
  </r>
  <r>
    <n v="58"/>
    <s v="HR"/>
    <n v="33"/>
    <n v="3"/>
    <n v="1"/>
    <n v="28"/>
    <n v="2688"/>
    <n v="74"/>
    <n v="73"/>
    <n v="77"/>
    <x v="0"/>
    <n v="1"/>
  </r>
  <r>
    <n v="59"/>
    <s v="Sales"/>
    <n v="56"/>
    <n v="8"/>
    <n v="1"/>
    <n v="6"/>
    <n v="4366"/>
    <n v="62"/>
    <n v="61"/>
    <n v="62"/>
    <x v="1"/>
    <n v="1"/>
  </r>
  <r>
    <n v="60"/>
    <s v="HR"/>
    <n v="50"/>
    <n v="10"/>
    <n v="1"/>
    <n v="6"/>
    <n v="4370"/>
    <n v="81"/>
    <n v="80"/>
    <n v="88"/>
    <x v="0"/>
    <n v="1"/>
  </r>
  <r>
    <n v="61"/>
    <s v="Sales"/>
    <n v="58"/>
    <n v="19"/>
    <n v="1"/>
    <n v="12"/>
    <n v="6214"/>
    <n v="92"/>
    <n v="88"/>
    <n v="95"/>
    <x v="1"/>
    <n v="1"/>
  </r>
  <r>
    <n v="62"/>
    <s v="Sales"/>
    <n v="49"/>
    <n v="9"/>
    <n v="2"/>
    <n v="24"/>
    <n v="4548"/>
    <n v="70"/>
    <n v="71"/>
    <n v="73"/>
    <x v="0"/>
    <n v="1"/>
  </r>
  <r>
    <n v="63"/>
    <s v="HR"/>
    <n v="26"/>
    <n v="1"/>
    <n v="1"/>
    <n v="18"/>
    <n v="2263"/>
    <n v="74"/>
    <n v="69"/>
    <n v="74"/>
    <x v="1"/>
    <n v="0"/>
  </r>
  <r>
    <n v="64"/>
    <s v="HR"/>
    <n v="51"/>
    <n v="2"/>
    <n v="3"/>
    <n v="12"/>
    <n v="3841"/>
    <n v="70"/>
    <n v="69"/>
    <n v="72"/>
    <x v="0"/>
    <n v="1"/>
  </r>
  <r>
    <n v="65"/>
    <s v="IT"/>
    <n v="32"/>
    <n v="4"/>
    <n v="2"/>
    <n v="28"/>
    <n v="4267"/>
    <n v="88"/>
    <n v="84"/>
    <n v="89"/>
    <x v="1"/>
    <n v="0"/>
  </r>
  <r>
    <n v="66"/>
    <s v="IT"/>
    <n v="54"/>
    <n v="31"/>
    <n v="2"/>
    <n v="7"/>
    <n v="7771"/>
    <n v="55"/>
    <n v="56"/>
    <n v="58"/>
    <x v="0"/>
    <n v="0"/>
  </r>
  <r>
    <n v="67"/>
    <s v="IT"/>
    <n v="39"/>
    <n v="1"/>
    <n v="1"/>
    <n v="20"/>
    <n v="3422"/>
    <n v="83"/>
    <n v="82"/>
    <n v="90"/>
    <x v="1"/>
    <n v="1"/>
  </r>
  <r>
    <n v="68"/>
    <s v="Sales"/>
    <n v="43"/>
    <n v="10"/>
    <n v="3"/>
    <n v="8"/>
    <n v="5514"/>
    <n v="82"/>
    <n v="80"/>
    <n v="89"/>
    <x v="1"/>
    <n v="1"/>
  </r>
  <r>
    <n v="69"/>
    <s v="HR"/>
    <n v="38"/>
    <n v="10"/>
    <n v="1"/>
    <n v="29"/>
    <n v="4407"/>
    <n v="84"/>
    <n v="84"/>
    <n v="91"/>
    <x v="0"/>
    <n v="0"/>
  </r>
  <r>
    <n v="70"/>
    <s v="HR"/>
    <n v="53"/>
    <n v="28"/>
    <n v="1"/>
    <n v="11"/>
    <n v="6862"/>
    <n v="84"/>
    <n v="86"/>
    <n v="88"/>
    <x v="0"/>
    <n v="0"/>
  </r>
  <r>
    <n v="71"/>
    <s v="HR"/>
    <n v="41"/>
    <n v="17"/>
    <n v="1"/>
    <n v="22"/>
    <n v="4692"/>
    <n v="64"/>
    <n v="62"/>
    <n v="65"/>
    <x v="1"/>
    <n v="0"/>
  </r>
  <r>
    <n v="72"/>
    <s v="Sales"/>
    <n v="39"/>
    <n v="13"/>
    <n v="2"/>
    <n v="20"/>
    <n v="4958"/>
    <n v="92"/>
    <n v="87"/>
    <n v="90"/>
    <x v="0"/>
    <n v="1"/>
  </r>
  <r>
    <n v="73"/>
    <s v="Sales"/>
    <n v="48"/>
    <n v="10"/>
    <n v="2"/>
    <n v="13"/>
    <n v="5106"/>
    <n v="88"/>
    <n v="86"/>
    <n v="89"/>
    <x v="1"/>
    <n v="1"/>
  </r>
  <r>
    <n v="74"/>
    <s v="HR"/>
    <n v="57"/>
    <n v="34"/>
    <n v="2"/>
    <n v="19"/>
    <n v="9356"/>
    <n v="84"/>
    <n v="79"/>
    <n v="83"/>
    <x v="1"/>
    <n v="1"/>
  </r>
  <r>
    <n v="75"/>
    <s v="IT"/>
    <n v="52"/>
    <n v="22"/>
    <n v="2"/>
    <n v="17"/>
    <n v="7160"/>
    <n v="68"/>
    <n v="63"/>
    <n v="72"/>
    <x v="1"/>
    <n v="0"/>
  </r>
  <r>
    <n v="76"/>
    <s v="Sales"/>
    <n v="50"/>
    <n v="3"/>
    <n v="2"/>
    <n v="19"/>
    <n v="3622"/>
    <n v="66"/>
    <n v="59"/>
    <n v="67"/>
    <x v="1"/>
    <n v="1"/>
  </r>
  <r>
    <n v="77"/>
    <s v="IT"/>
    <n v="47"/>
    <n v="20"/>
    <n v="1"/>
    <n v="15"/>
    <n v="7108"/>
    <n v="59"/>
    <n v="57"/>
    <n v="67"/>
    <x v="0"/>
    <n v="0"/>
  </r>
  <r>
    <n v="78"/>
    <s v="HR"/>
    <n v="40"/>
    <n v="7"/>
    <n v="3"/>
    <n v="7"/>
    <n v="4077"/>
    <n v="72"/>
    <n v="74"/>
    <n v="75"/>
    <x v="1"/>
    <n v="0"/>
  </r>
  <r>
    <n v="79"/>
    <s v="Sales"/>
    <n v="40"/>
    <n v="11"/>
    <n v="1"/>
    <n v="18"/>
    <n v="4395"/>
    <n v="64"/>
    <n v="65"/>
    <n v="68"/>
    <x v="1"/>
    <n v="0"/>
  </r>
  <r>
    <n v="80"/>
    <s v="Sales"/>
    <n v="37"/>
    <n v="15"/>
    <n v="2"/>
    <n v="9"/>
    <n v="5297"/>
    <n v="58"/>
    <n v="55"/>
    <n v="63"/>
    <x v="0"/>
    <n v="1"/>
  </r>
  <r>
    <n v="81"/>
    <s v="HR"/>
    <n v="44"/>
    <n v="18"/>
    <n v="1"/>
    <n v="25"/>
    <n v="5628"/>
    <n v="74"/>
    <n v="67"/>
    <n v="74"/>
    <x v="1"/>
    <n v="1"/>
  </r>
  <r>
    <n v="82"/>
    <s v="HR"/>
    <n v="46"/>
    <n v="18"/>
    <n v="1"/>
    <n v="23"/>
    <n v="5615"/>
    <n v="74"/>
    <n v="72"/>
    <n v="73"/>
    <x v="0"/>
    <n v="0"/>
  </r>
  <r>
    <n v="83"/>
    <s v="HR"/>
    <n v="53"/>
    <n v="18"/>
    <n v="1"/>
    <n v="24"/>
    <n v="5124"/>
    <n v="66"/>
    <n v="63"/>
    <n v="65"/>
    <x v="0"/>
    <n v="1"/>
  </r>
  <r>
    <n v="84"/>
    <s v="IT"/>
    <n v="50"/>
    <n v="1"/>
    <n v="2"/>
    <n v="16"/>
    <n v="3654"/>
    <n v="80"/>
    <n v="81"/>
    <n v="84"/>
    <x v="0"/>
    <n v="0"/>
  </r>
  <r>
    <n v="85"/>
    <s v="Sales"/>
    <n v="45"/>
    <n v="16"/>
    <n v="2"/>
    <n v="13"/>
    <n v="5803"/>
    <n v="63"/>
    <n v="62"/>
    <n v="70"/>
    <x v="0"/>
    <n v="0"/>
  </r>
  <r>
    <n v="86"/>
    <s v="IT"/>
    <n v="36"/>
    <n v="13"/>
    <n v="3"/>
    <n v="28"/>
    <n v="6397"/>
    <n v="58"/>
    <n v="55"/>
    <n v="60"/>
    <x v="0"/>
    <n v="0"/>
  </r>
  <r>
    <n v="87"/>
    <s v="Sales"/>
    <n v="38"/>
    <n v="12"/>
    <n v="3"/>
    <n v="16"/>
    <n v="5567"/>
    <n v="78"/>
    <n v="75"/>
    <n v="85"/>
    <x v="0"/>
    <n v="0"/>
  </r>
  <r>
    <n v="88"/>
    <s v="IT"/>
    <n v="51"/>
    <n v="29"/>
    <n v="3"/>
    <n v="14"/>
    <n v="8183"/>
    <n v="60"/>
    <n v="57"/>
    <n v="62"/>
    <x v="0"/>
    <n v="1"/>
  </r>
  <r>
    <n v="89"/>
    <s v="HR"/>
    <n v="56"/>
    <n v="8"/>
    <n v="2"/>
    <n v="19"/>
    <n v="4765"/>
    <n v="85"/>
    <n v="81"/>
    <n v="83"/>
    <x v="1"/>
    <n v="0"/>
  </r>
  <r>
    <n v="90"/>
    <s v="Sales"/>
    <n v="39"/>
    <n v="1"/>
    <n v="3"/>
    <n v="16"/>
    <n v="4331"/>
    <n v="65"/>
    <n v="61"/>
    <n v="67"/>
    <x v="1"/>
    <n v="1"/>
  </r>
  <r>
    <n v="91"/>
    <s v="Sales"/>
    <n v="39"/>
    <n v="6"/>
    <n v="1"/>
    <n v="19"/>
    <n v="3459"/>
    <n v="59"/>
    <n v="58"/>
    <n v="64"/>
    <x v="0"/>
    <n v="0"/>
  </r>
  <r>
    <n v="92"/>
    <s v="IT"/>
    <n v="35"/>
    <n v="1"/>
    <n v="2"/>
    <n v="11"/>
    <n v="3422"/>
    <n v="60"/>
    <n v="55"/>
    <n v="60"/>
    <x v="0"/>
    <n v="0"/>
  </r>
  <r>
    <n v="93"/>
    <s v="IT"/>
    <n v="56"/>
    <n v="16"/>
    <n v="1"/>
    <n v="8"/>
    <n v="5355"/>
    <n v="80"/>
    <n v="77"/>
    <n v="81"/>
    <x v="1"/>
    <n v="1"/>
  </r>
  <r>
    <n v="94"/>
    <s v="HR"/>
    <n v="38"/>
    <n v="1"/>
    <n v="1"/>
    <n v="28"/>
    <n v="2586"/>
    <n v="87"/>
    <n v="83"/>
    <n v="89"/>
    <x v="0"/>
    <n v="0"/>
  </r>
  <r>
    <n v="95"/>
    <s v="IT"/>
    <n v="36"/>
    <n v="9"/>
    <n v="1"/>
    <n v="28"/>
    <n v="4412"/>
    <n v="65"/>
    <n v="58"/>
    <n v="66"/>
    <x v="1"/>
    <n v="1"/>
  </r>
  <r>
    <n v="96"/>
    <s v="Sales"/>
    <n v="28"/>
    <n v="3"/>
    <n v="3"/>
    <n v="19"/>
    <n v="3965"/>
    <n v="60"/>
    <n v="59"/>
    <n v="62"/>
    <x v="1"/>
    <n v="1"/>
  </r>
  <r>
    <n v="97"/>
    <s v="IT"/>
    <n v="55"/>
    <n v="18"/>
    <n v="2"/>
    <n v="21"/>
    <n v="6514"/>
    <n v="72"/>
    <n v="68"/>
    <n v="75"/>
    <x v="0"/>
    <n v="0"/>
  </r>
  <r>
    <n v="98"/>
    <s v="Sales"/>
    <n v="51"/>
    <n v="12"/>
    <n v="2"/>
    <n v="28"/>
    <n v="5478"/>
    <n v="82"/>
    <n v="78"/>
    <n v="81"/>
    <x v="1"/>
    <n v="1"/>
  </r>
  <r>
    <n v="99"/>
    <s v="IT"/>
    <n v="27"/>
    <n v="0"/>
    <n v="2"/>
    <n v="8"/>
    <n v="3616"/>
    <n v="64"/>
    <n v="58"/>
    <n v="68"/>
    <x v="1"/>
    <n v="0"/>
  </r>
  <r>
    <n v="100"/>
    <s v="HR"/>
    <n v="48"/>
    <n v="11"/>
    <n v="3"/>
    <n v="29"/>
    <n v="5520"/>
    <n v="79"/>
    <n v="77"/>
    <n v="79"/>
    <x v="0"/>
    <n v="1"/>
  </r>
  <r>
    <n v="101"/>
    <s v="IT"/>
    <n v="52"/>
    <n v="7"/>
    <n v="1"/>
    <n v="16"/>
    <n v="4356"/>
    <n v="76"/>
    <n v="69"/>
    <n v="76"/>
    <x v="0"/>
    <n v="0"/>
  </r>
  <r>
    <n v="102"/>
    <s v="IT"/>
    <n v="39"/>
    <n v="0"/>
    <n v="1"/>
    <n v="13"/>
    <n v="3169"/>
    <n v="60"/>
    <n v="55"/>
    <n v="58"/>
    <x v="0"/>
    <n v="0"/>
  </r>
  <r>
    <n v="103"/>
    <s v="IT"/>
    <n v="47"/>
    <n v="2"/>
    <n v="1"/>
    <n v="28"/>
    <n v="3374"/>
    <n v="82"/>
    <n v="79"/>
    <n v="86"/>
    <x v="1"/>
    <n v="1"/>
  </r>
  <r>
    <n v="104"/>
    <s v="Sales"/>
    <n v="41"/>
    <n v="10"/>
    <n v="2"/>
    <n v="24"/>
    <n v="4612"/>
    <n v="58"/>
    <n v="58"/>
    <n v="60"/>
    <x v="1"/>
    <n v="0"/>
  </r>
  <r>
    <n v="105"/>
    <s v="Sales"/>
    <n v="53"/>
    <n v="28"/>
    <n v="2"/>
    <n v="13"/>
    <n v="8002"/>
    <n v="66"/>
    <n v="62"/>
    <n v="67"/>
    <x v="1"/>
    <n v="0"/>
  </r>
  <r>
    <n v="106"/>
    <s v="IT"/>
    <n v="41"/>
    <n v="1"/>
    <n v="1"/>
    <n v="17"/>
    <n v="2928"/>
    <n v="72"/>
    <n v="68"/>
    <n v="71"/>
    <x v="1"/>
    <n v="1"/>
  </r>
  <r>
    <n v="107"/>
    <s v="HR"/>
    <n v="29"/>
    <n v="0"/>
    <n v="2"/>
    <n v="28"/>
    <n v="3043"/>
    <n v="74"/>
    <n v="69"/>
    <n v="78"/>
    <x v="1"/>
    <n v="1"/>
  </r>
  <r>
    <n v="108"/>
    <s v="Sales"/>
    <n v="24"/>
    <n v="1"/>
    <n v="1"/>
    <n v="19"/>
    <n v="2917"/>
    <n v="82"/>
    <n v="80"/>
    <n v="87"/>
    <x v="0"/>
    <n v="0"/>
  </r>
  <r>
    <n v="109"/>
    <s v="IT"/>
    <n v="42"/>
    <n v="5"/>
    <n v="2"/>
    <n v="19"/>
    <n v="4790"/>
    <n v="63"/>
    <n v="61"/>
    <n v="65"/>
    <x v="1"/>
    <n v="0"/>
  </r>
  <r>
    <n v="110"/>
    <s v="Sales"/>
    <n v="47"/>
    <n v="9"/>
    <n v="3"/>
    <n v="15"/>
    <n v="5331"/>
    <n v="68"/>
    <n v="62"/>
    <n v="71"/>
    <x v="0"/>
    <n v="0"/>
  </r>
  <r>
    <n v="111"/>
    <s v="Sales"/>
    <n v="44"/>
    <n v="11"/>
    <n v="3"/>
    <n v="25"/>
    <n v="5269"/>
    <n v="70"/>
    <n v="67"/>
    <n v="70"/>
    <x v="0"/>
    <n v="0"/>
  </r>
  <r>
    <n v="112"/>
    <s v="HR"/>
    <n v="26"/>
    <n v="1"/>
    <n v="3"/>
    <n v="20"/>
    <n v="4130"/>
    <n v="76"/>
    <n v="75"/>
    <n v="81"/>
    <x v="1"/>
    <n v="1"/>
  </r>
  <r>
    <n v="113"/>
    <s v="HR"/>
    <n v="50"/>
    <n v="20"/>
    <n v="1"/>
    <n v="30"/>
    <n v="5799"/>
    <n v="62"/>
    <n v="59"/>
    <n v="64"/>
    <x v="1"/>
    <n v="1"/>
  </r>
  <r>
    <n v="114"/>
    <s v="Sales"/>
    <n v="45"/>
    <n v="9"/>
    <n v="1"/>
    <n v="25"/>
    <n v="4890"/>
    <n v="64"/>
    <n v="57"/>
    <n v="65"/>
    <x v="0"/>
    <n v="1"/>
  </r>
  <r>
    <n v="115"/>
    <s v="HR"/>
    <n v="52"/>
    <n v="16"/>
    <n v="1"/>
    <n v="6"/>
    <n v="4826"/>
    <n v="64"/>
    <n v="66"/>
    <n v="67"/>
    <x v="1"/>
    <n v="0"/>
  </r>
  <r>
    <n v="116"/>
    <s v="HR"/>
    <n v="55"/>
    <n v="33"/>
    <n v="2"/>
    <n v="10"/>
    <n v="8022"/>
    <n v="78"/>
    <n v="76"/>
    <n v="86"/>
    <x v="1"/>
    <n v="1"/>
  </r>
  <r>
    <n v="117"/>
    <s v="HR"/>
    <n v="28"/>
    <n v="4"/>
    <n v="3"/>
    <n v="17"/>
    <n v="3640"/>
    <n v="66"/>
    <n v="64"/>
    <n v="70"/>
    <x v="1"/>
    <n v="1"/>
  </r>
  <r>
    <n v="118"/>
    <s v="IT"/>
    <n v="27"/>
    <n v="2"/>
    <n v="2"/>
    <n v="17"/>
    <n v="3989"/>
    <n v="64"/>
    <n v="60"/>
    <n v="67"/>
    <x v="1"/>
    <n v="1"/>
  </r>
  <r>
    <n v="119"/>
    <s v="HR"/>
    <n v="41"/>
    <n v="5"/>
    <n v="1"/>
    <n v="15"/>
    <n v="2865"/>
    <n v="64"/>
    <n v="59"/>
    <n v="64"/>
    <x v="0"/>
    <n v="0"/>
  </r>
  <r>
    <n v="120"/>
    <s v="HR"/>
    <n v="56"/>
    <n v="33"/>
    <n v="1"/>
    <n v="26"/>
    <n v="8619"/>
    <n v="64"/>
    <n v="64"/>
    <n v="67"/>
    <x v="0"/>
    <n v="0"/>
  </r>
  <r>
    <n v="121"/>
    <s v="IT"/>
    <n v="24"/>
    <n v="1"/>
    <n v="1"/>
    <n v="26"/>
    <n v="3344"/>
    <n v="86"/>
    <n v="83"/>
    <n v="87"/>
    <x v="0"/>
    <n v="1"/>
  </r>
  <r>
    <n v="122"/>
    <s v="IT"/>
    <n v="52"/>
    <n v="28"/>
    <n v="1"/>
    <n v="16"/>
    <n v="8716"/>
    <n v="84"/>
    <n v="79"/>
    <n v="88"/>
    <x v="1"/>
    <n v="0"/>
  </r>
  <r>
    <n v="123"/>
    <s v="HR"/>
    <n v="34"/>
    <n v="12"/>
    <n v="2"/>
    <n v="9"/>
    <n v="4710"/>
    <n v="68"/>
    <n v="61"/>
    <n v="70"/>
    <x v="0"/>
    <n v="1"/>
  </r>
  <r>
    <n v="124"/>
    <s v="Sales"/>
    <n v="32"/>
    <n v="4"/>
    <n v="2"/>
    <n v="21"/>
    <n v="3844"/>
    <n v="83"/>
    <n v="83"/>
    <n v="89"/>
    <x v="1"/>
    <n v="1"/>
  </r>
  <r>
    <n v="125"/>
    <s v="Sales"/>
    <n v="54"/>
    <n v="23"/>
    <n v="1"/>
    <n v="17"/>
    <n v="6169"/>
    <n v="67"/>
    <n v="61"/>
    <n v="67"/>
    <x v="0"/>
    <n v="1"/>
  </r>
  <r>
    <n v="126"/>
    <s v="IT"/>
    <n v="40"/>
    <n v="15"/>
    <n v="3"/>
    <n v="9"/>
    <n v="6468"/>
    <n v="60"/>
    <n v="60"/>
    <n v="61"/>
    <x v="0"/>
    <n v="0"/>
  </r>
  <r>
    <n v="127"/>
    <s v="HR"/>
    <n v="57"/>
    <n v="33"/>
    <n v="2"/>
    <n v="8"/>
    <n v="7358"/>
    <n v="76"/>
    <n v="70"/>
    <n v="77"/>
    <x v="1"/>
    <n v="1"/>
  </r>
  <r>
    <n v="128"/>
    <s v="IT"/>
    <n v="53"/>
    <n v="1"/>
    <n v="3"/>
    <n v="21"/>
    <n v="4668"/>
    <n v="59"/>
    <n v="55"/>
    <n v="65"/>
    <x v="0"/>
    <n v="0"/>
  </r>
  <r>
    <n v="129"/>
    <s v="IT"/>
    <n v="33"/>
    <n v="10"/>
    <n v="3"/>
    <n v="7"/>
    <n v="5595"/>
    <n v="92"/>
    <n v="87"/>
    <n v="96"/>
    <x v="0"/>
    <n v="0"/>
  </r>
  <r>
    <n v="130"/>
    <s v="HR"/>
    <n v="52"/>
    <n v="1"/>
    <n v="3"/>
    <n v="17"/>
    <n v="3346"/>
    <n v="81"/>
    <n v="77"/>
    <n v="81"/>
    <x v="0"/>
    <n v="0"/>
  </r>
  <r>
    <n v="131"/>
    <s v="IT"/>
    <n v="43"/>
    <n v="4"/>
    <n v="1"/>
    <n v="16"/>
    <n v="3872"/>
    <n v="90"/>
    <n v="85"/>
    <n v="88"/>
    <x v="0"/>
    <n v="1"/>
  </r>
  <r>
    <n v="132"/>
    <s v="Sales"/>
    <n v="51"/>
    <n v="1"/>
    <n v="1"/>
    <n v="11"/>
    <n v="2897"/>
    <n v="78"/>
    <n v="74"/>
    <n v="83"/>
    <x v="1"/>
    <n v="1"/>
  </r>
  <r>
    <n v="133"/>
    <s v="Sales"/>
    <n v="34"/>
    <n v="4"/>
    <n v="1"/>
    <n v="29"/>
    <n v="3355"/>
    <n v="82"/>
    <n v="78"/>
    <n v="85"/>
    <x v="1"/>
    <n v="0"/>
  </r>
  <r>
    <n v="134"/>
    <s v="IT"/>
    <n v="46"/>
    <n v="10"/>
    <n v="1"/>
    <n v="20"/>
    <n v="4969"/>
    <n v="60"/>
    <n v="60"/>
    <n v="67"/>
    <x v="1"/>
    <n v="0"/>
  </r>
  <r>
    <n v="135"/>
    <s v="Sales"/>
    <n v="33"/>
    <n v="8"/>
    <n v="1"/>
    <n v="15"/>
    <n v="3732"/>
    <n v="79"/>
    <n v="74"/>
    <n v="82"/>
    <x v="1"/>
    <n v="1"/>
  </r>
  <r>
    <n v="136"/>
    <s v="IT"/>
    <n v="50"/>
    <n v="11"/>
    <n v="2"/>
    <n v="6"/>
    <n v="5922"/>
    <n v="70"/>
    <n v="72"/>
    <n v="73"/>
    <x v="1"/>
    <n v="1"/>
  </r>
  <r>
    <n v="137"/>
    <s v="IT"/>
    <n v="32"/>
    <n v="0"/>
    <n v="1"/>
    <n v="24"/>
    <n v="2989"/>
    <n v="64"/>
    <n v="59"/>
    <n v="63"/>
    <x v="1"/>
    <n v="1"/>
  </r>
  <r>
    <n v="138"/>
    <s v="IT"/>
    <n v="58"/>
    <n v="2"/>
    <n v="2"/>
    <n v="9"/>
    <n v="4485"/>
    <n v="62"/>
    <n v="59"/>
    <n v="69"/>
    <x v="1"/>
    <n v="1"/>
  </r>
  <r>
    <n v="139"/>
    <s v="IT"/>
    <n v="39"/>
    <n v="7"/>
    <n v="1"/>
    <n v="5"/>
    <n v="4268"/>
    <n v="68"/>
    <n v="62"/>
    <n v="67"/>
    <x v="1"/>
    <n v="0"/>
  </r>
  <r>
    <n v="140"/>
    <s v="HR"/>
    <n v="35"/>
    <n v="9"/>
    <n v="1"/>
    <n v="27"/>
    <n v="3188"/>
    <n v="86"/>
    <n v="83"/>
    <n v="86"/>
    <x v="1"/>
    <n v="0"/>
  </r>
  <r>
    <n v="141"/>
    <s v="IT"/>
    <n v="42"/>
    <n v="11"/>
    <n v="3"/>
    <n v="7"/>
    <n v="5837"/>
    <n v="70"/>
    <n v="66"/>
    <n v="72"/>
    <x v="0"/>
    <n v="1"/>
  </r>
  <r>
    <n v="142"/>
    <s v="HR"/>
    <n v="34"/>
    <n v="12"/>
    <n v="1"/>
    <n v="12"/>
    <n v="4144"/>
    <n v="85"/>
    <n v="78"/>
    <n v="86"/>
    <x v="0"/>
    <n v="0"/>
  </r>
  <r>
    <n v="143"/>
    <s v="IT"/>
    <n v="27"/>
    <n v="0"/>
    <n v="1"/>
    <n v="17"/>
    <n v="3267"/>
    <n v="83"/>
    <n v="81"/>
    <n v="91"/>
    <x v="0"/>
    <n v="0"/>
  </r>
  <r>
    <n v="144"/>
    <s v="IT"/>
    <n v="26"/>
    <n v="3"/>
    <n v="2"/>
    <n v="26"/>
    <n v="3792"/>
    <n v="68"/>
    <n v="63"/>
    <n v="70"/>
    <x v="0"/>
    <n v="0"/>
  </r>
  <r>
    <n v="145"/>
    <s v="Sales"/>
    <n v="55"/>
    <n v="9"/>
    <n v="1"/>
    <n v="10"/>
    <n v="4356"/>
    <n v="73"/>
    <n v="73"/>
    <n v="75"/>
    <x v="0"/>
    <n v="0"/>
  </r>
  <r>
    <n v="146"/>
    <s v="HR"/>
    <n v="57"/>
    <n v="17"/>
    <n v="1"/>
    <n v="25"/>
    <n v="5159"/>
    <n v="68"/>
    <n v="64"/>
    <n v="67"/>
    <x v="1"/>
    <n v="0"/>
  </r>
  <r>
    <n v="147"/>
    <s v="Sales"/>
    <n v="58"/>
    <n v="2"/>
    <n v="1"/>
    <n v="7"/>
    <n v="3245"/>
    <n v="88"/>
    <n v="81"/>
    <n v="91"/>
    <x v="0"/>
    <n v="0"/>
  </r>
  <r>
    <n v="148"/>
    <s v="HR"/>
    <n v="56"/>
    <n v="18"/>
    <n v="3"/>
    <n v="14"/>
    <n v="6694"/>
    <n v="58"/>
    <n v="59"/>
    <n v="60"/>
    <x v="1"/>
    <n v="1"/>
  </r>
  <r>
    <n v="149"/>
    <s v="Sales"/>
    <n v="51"/>
    <n v="6"/>
    <n v="1"/>
    <n v="24"/>
    <n v="4080"/>
    <n v="67"/>
    <n v="63"/>
    <n v="69"/>
    <x v="0"/>
    <n v="1"/>
  </r>
  <r>
    <n v="150"/>
    <s v="Sales"/>
    <n v="51"/>
    <n v="3"/>
    <n v="1"/>
    <n v="19"/>
    <n v="2999"/>
    <n v="84"/>
    <n v="79"/>
    <n v="89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2E4DF-3236-460A-B99F-EA36CE779646}" name="PivotTable1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Conversion" fld="1" subtotal="count" baseField="0" baseItem="0"/>
  </dataFields>
  <pivotHierarchies count="6"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Conversion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K$1:$L$15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63960-8FC4-4E13-A0FE-E2F5E0603A8F}" name="PivotTable26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F82:G84" firstHeaderRow="1" firstDataRow="1" firstDataCol="1"/>
  <pivotFields count="1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2">
    <i>
      <x/>
    </i>
    <i>
      <x v="1"/>
    </i>
  </rowItems>
  <colItems count="1">
    <i/>
  </colItems>
  <dataFields count="1">
    <dataField name="Sum of Conversion" fld="11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77A4B-ED43-4AB8-981B-967AB92F23B8}">
  <dimension ref="A1:I65"/>
  <sheetViews>
    <sheetView topLeftCell="A56" zoomScale="121" workbookViewId="0">
      <selection activeCell="B67" sqref="B67"/>
    </sheetView>
  </sheetViews>
  <sheetFormatPr defaultRowHeight="14.4" x14ac:dyDescent="0.3"/>
  <cols>
    <col min="1" max="1" width="18.109375" customWidth="1"/>
    <col min="2" max="2" width="19.88671875" customWidth="1"/>
    <col min="3" max="3" width="10.6640625" bestFit="1" customWidth="1"/>
    <col min="4" max="4" width="11.77734375" bestFit="1" customWidth="1"/>
    <col min="5" max="9" width="9" bestFit="1" customWidth="1"/>
  </cols>
  <sheetData>
    <row r="1" spans="1:9" x14ac:dyDescent="0.3">
      <c r="A1" t="s">
        <v>88</v>
      </c>
    </row>
    <row r="2" spans="1:9" ht="15" thickBot="1" x14ac:dyDescent="0.35">
      <c r="A2" t="s">
        <v>2</v>
      </c>
    </row>
    <row r="3" spans="1:9" x14ac:dyDescent="0.3">
      <c r="A3" s="12" t="s">
        <v>89</v>
      </c>
      <c r="B3" s="12"/>
    </row>
    <row r="4" spans="1:9" x14ac:dyDescent="0.3">
      <c r="A4" s="9" t="s">
        <v>90</v>
      </c>
      <c r="B4" s="9">
        <v>0.91720765647857849</v>
      </c>
    </row>
    <row r="5" spans="1:9" x14ac:dyDescent="0.3">
      <c r="A5" s="9" t="s">
        <v>91</v>
      </c>
      <c r="B5" s="13">
        <v>0.84126988510292611</v>
      </c>
    </row>
    <row r="6" spans="1:9" x14ac:dyDescent="0.3">
      <c r="A6" s="9" t="s">
        <v>92</v>
      </c>
      <c r="B6" s="9">
        <v>0.84019738432659452</v>
      </c>
    </row>
    <row r="7" spans="1:9" x14ac:dyDescent="0.3">
      <c r="A7" s="9" t="s">
        <v>93</v>
      </c>
      <c r="B7" s="9">
        <v>639.21684285859385</v>
      </c>
    </row>
    <row r="8" spans="1:9" ht="15" thickBot="1" x14ac:dyDescent="0.35">
      <c r="A8" s="10" t="s">
        <v>94</v>
      </c>
      <c r="B8" s="10">
        <v>150</v>
      </c>
    </row>
    <row r="10" spans="1:9" ht="15" thickBot="1" x14ac:dyDescent="0.35">
      <c r="A10" t="s">
        <v>95</v>
      </c>
    </row>
    <row r="11" spans="1:9" x14ac:dyDescent="0.3">
      <c r="A11" s="11"/>
      <c r="B11" s="11" t="s">
        <v>100</v>
      </c>
      <c r="C11" s="11" t="s">
        <v>101</v>
      </c>
      <c r="D11" s="11" t="s">
        <v>102</v>
      </c>
      <c r="E11" s="11" t="s">
        <v>103</v>
      </c>
      <c r="F11" s="11" t="s">
        <v>104</v>
      </c>
    </row>
    <row r="12" spans="1:9" x14ac:dyDescent="0.3">
      <c r="A12" s="9" t="s">
        <v>96</v>
      </c>
      <c r="B12" s="9">
        <v>1</v>
      </c>
      <c r="C12" s="9">
        <v>320504511.47527212</v>
      </c>
      <c r="D12" s="9">
        <v>320504511.47527212</v>
      </c>
      <c r="E12" s="9">
        <v>784.4002574808718</v>
      </c>
      <c r="F12" s="9">
        <v>5.0333113587551144E-61</v>
      </c>
    </row>
    <row r="13" spans="1:9" x14ac:dyDescent="0.3">
      <c r="A13" s="9" t="s">
        <v>97</v>
      </c>
      <c r="B13" s="9">
        <v>148</v>
      </c>
      <c r="C13" s="9">
        <v>60472529.484728023</v>
      </c>
      <c r="D13" s="9">
        <v>408598.17219410825</v>
      </c>
      <c r="E13" s="9"/>
      <c r="F13" s="9"/>
    </row>
    <row r="14" spans="1:9" ht="15" thickBot="1" x14ac:dyDescent="0.35">
      <c r="A14" s="10" t="s">
        <v>98</v>
      </c>
      <c r="B14" s="10">
        <v>149</v>
      </c>
      <c r="C14" s="10">
        <v>380977040.96000016</v>
      </c>
      <c r="D14" s="10"/>
      <c r="E14" s="10"/>
      <c r="F14" s="10"/>
    </row>
    <row r="15" spans="1:9" ht="15" thickBot="1" x14ac:dyDescent="0.35"/>
    <row r="16" spans="1:9" x14ac:dyDescent="0.3">
      <c r="A16" s="11"/>
      <c r="B16" s="11" t="s">
        <v>105</v>
      </c>
      <c r="C16" s="11" t="s">
        <v>93</v>
      </c>
      <c r="D16" s="11" t="s">
        <v>106</v>
      </c>
      <c r="E16" s="11" t="s">
        <v>107</v>
      </c>
      <c r="F16" s="11" t="s">
        <v>108</v>
      </c>
      <c r="G16" s="11" t="s">
        <v>109</v>
      </c>
      <c r="H16" s="11" t="s">
        <v>110</v>
      </c>
      <c r="I16" s="11" t="s">
        <v>111</v>
      </c>
    </row>
    <row r="17" spans="1:9" x14ac:dyDescent="0.3">
      <c r="A17" s="9" t="s">
        <v>99</v>
      </c>
      <c r="B17" s="9">
        <v>3110.4921631488724</v>
      </c>
      <c r="C17" s="9">
        <v>82.292753402388882</v>
      </c>
      <c r="D17" s="9">
        <v>37.797886624833453</v>
      </c>
      <c r="E17" s="9">
        <v>6.360910963088989E-78</v>
      </c>
      <c r="F17" s="9">
        <v>2947.8716020890029</v>
      </c>
      <c r="G17" s="9">
        <v>3273.1127242087418</v>
      </c>
      <c r="H17" s="9">
        <v>2947.8716020890029</v>
      </c>
      <c r="I17" s="9">
        <v>3273.1127242087418</v>
      </c>
    </row>
    <row r="18" spans="1:9" ht="15" thickBot="1" x14ac:dyDescent="0.35">
      <c r="A18" s="10" t="s">
        <v>2</v>
      </c>
      <c r="B18" s="10">
        <v>158.63037123303806</v>
      </c>
      <c r="C18" s="10">
        <v>5.6639247768247305</v>
      </c>
      <c r="D18" s="10">
        <v>28.007146542996338</v>
      </c>
      <c r="E18" s="10">
        <v>5.0333113587551144E-61</v>
      </c>
      <c r="F18" s="10">
        <v>147.43776207941852</v>
      </c>
      <c r="G18" s="10">
        <v>169.8229803866576</v>
      </c>
      <c r="H18" s="10">
        <v>147.43776207941852</v>
      </c>
      <c r="I18" s="10">
        <v>169.8229803866576</v>
      </c>
    </row>
    <row r="22" spans="1:9" x14ac:dyDescent="0.3">
      <c r="A22" t="s">
        <v>88</v>
      </c>
    </row>
    <row r="23" spans="1:9" ht="15" thickBot="1" x14ac:dyDescent="0.35">
      <c r="A23" t="s">
        <v>1</v>
      </c>
    </row>
    <row r="24" spans="1:9" x14ac:dyDescent="0.3">
      <c r="A24" s="12" t="s">
        <v>89</v>
      </c>
      <c r="B24" s="12"/>
    </row>
    <row r="25" spans="1:9" x14ac:dyDescent="0.3">
      <c r="A25" s="9" t="s">
        <v>90</v>
      </c>
      <c r="B25" s="9">
        <v>0.62623626351475936</v>
      </c>
    </row>
    <row r="26" spans="1:9" x14ac:dyDescent="0.3">
      <c r="A26" s="9" t="s">
        <v>91</v>
      </c>
      <c r="B26" s="13">
        <v>0.39217185774092711</v>
      </c>
    </row>
    <row r="27" spans="1:9" x14ac:dyDescent="0.3">
      <c r="A27" s="9" t="s">
        <v>92</v>
      </c>
      <c r="B27" s="9">
        <v>0.3880649108337712</v>
      </c>
    </row>
    <row r="28" spans="1:9" x14ac:dyDescent="0.3">
      <c r="A28" s="9" t="s">
        <v>93</v>
      </c>
      <c r="B28" s="9">
        <v>1250.8606957083905</v>
      </c>
    </row>
    <row r="29" spans="1:9" ht="15" thickBot="1" x14ac:dyDescent="0.35">
      <c r="A29" s="10" t="s">
        <v>94</v>
      </c>
      <c r="B29" s="10">
        <v>150</v>
      </c>
    </row>
    <row r="31" spans="1:9" ht="15" thickBot="1" x14ac:dyDescent="0.35">
      <c r="A31" t="s">
        <v>95</v>
      </c>
    </row>
    <row r="32" spans="1:9" x14ac:dyDescent="0.3">
      <c r="A32" s="11"/>
      <c r="B32" s="11" t="s">
        <v>100</v>
      </c>
      <c r="C32" s="11" t="s">
        <v>101</v>
      </c>
      <c r="D32" s="11" t="s">
        <v>102</v>
      </c>
      <c r="E32" s="11" t="s">
        <v>103</v>
      </c>
      <c r="F32" s="11" t="s">
        <v>104</v>
      </c>
    </row>
    <row r="33" spans="1:9" x14ac:dyDescent="0.3">
      <c r="A33" s="9" t="s">
        <v>96</v>
      </c>
      <c r="B33" s="9">
        <v>1</v>
      </c>
      <c r="C33" s="9">
        <v>149408473.90992454</v>
      </c>
      <c r="D33" s="9">
        <v>149408473.90992454</v>
      </c>
      <c r="E33" s="9">
        <v>95.489877664990331</v>
      </c>
      <c r="F33" s="9">
        <v>1.0345184962298565E-17</v>
      </c>
    </row>
    <row r="34" spans="1:9" x14ac:dyDescent="0.3">
      <c r="A34" s="9" t="s">
        <v>97</v>
      </c>
      <c r="B34" s="9">
        <v>148</v>
      </c>
      <c r="C34" s="9">
        <v>231568567.05007562</v>
      </c>
      <c r="D34" s="9">
        <v>1564652.4800680785</v>
      </c>
      <c r="E34" s="9"/>
      <c r="F34" s="9"/>
    </row>
    <row r="35" spans="1:9" ht="15" thickBot="1" x14ac:dyDescent="0.35">
      <c r="A35" s="10" t="s">
        <v>98</v>
      </c>
      <c r="B35" s="10">
        <v>149</v>
      </c>
      <c r="C35" s="10">
        <v>380977040.96000016</v>
      </c>
      <c r="D35" s="10"/>
      <c r="E35" s="10"/>
      <c r="F35" s="10"/>
    </row>
    <row r="36" spans="1:9" ht="15" thickBot="1" x14ac:dyDescent="0.35"/>
    <row r="37" spans="1:9" x14ac:dyDescent="0.3">
      <c r="A37" s="11"/>
      <c r="B37" s="11" t="s">
        <v>105</v>
      </c>
      <c r="C37" s="11" t="s">
        <v>93</v>
      </c>
      <c r="D37" s="11" t="s">
        <v>106</v>
      </c>
      <c r="E37" s="11" t="s">
        <v>107</v>
      </c>
      <c r="F37" s="11" t="s">
        <v>108</v>
      </c>
      <c r="G37" s="11" t="s">
        <v>109</v>
      </c>
      <c r="H37" s="11" t="s">
        <v>110</v>
      </c>
      <c r="I37" s="11" t="s">
        <v>111</v>
      </c>
    </row>
    <row r="38" spans="1:9" x14ac:dyDescent="0.3">
      <c r="A38" s="9" t="s">
        <v>99</v>
      </c>
      <c r="B38" s="9">
        <v>745.66434315816787</v>
      </c>
      <c r="C38" s="9">
        <v>436.47485129266187</v>
      </c>
      <c r="D38" s="9">
        <v>1.7083787094486931</v>
      </c>
      <c r="E38" s="9">
        <v>8.9662516984095164E-2</v>
      </c>
      <c r="F38" s="9">
        <v>-116.86342837797497</v>
      </c>
      <c r="G38" s="9">
        <v>1608.1921146943107</v>
      </c>
      <c r="H38" s="9">
        <v>-116.86342837797497</v>
      </c>
      <c r="I38" s="9">
        <v>1608.1921146943107</v>
      </c>
    </row>
    <row r="39" spans="1:9" ht="15" thickBot="1" x14ac:dyDescent="0.35">
      <c r="A39" s="10" t="s">
        <v>1</v>
      </c>
      <c r="B39" s="10">
        <v>96.706521847990473</v>
      </c>
      <c r="C39" s="10">
        <v>9.8963966872805216</v>
      </c>
      <c r="D39" s="10">
        <v>9.7718922254080471</v>
      </c>
      <c r="E39" s="10">
        <v>1.034518496229901E-17</v>
      </c>
      <c r="F39" s="10">
        <v>77.150029748530898</v>
      </c>
      <c r="G39" s="10">
        <v>116.26301394745005</v>
      </c>
      <c r="H39" s="10">
        <v>77.150029748530898</v>
      </c>
      <c r="I39" s="10">
        <v>116.26301394745005</v>
      </c>
    </row>
    <row r="42" spans="1:9" x14ac:dyDescent="0.3">
      <c r="A42" t="s">
        <v>88</v>
      </c>
    </row>
    <row r="43" spans="1:9" ht="15" thickBot="1" x14ac:dyDescent="0.35">
      <c r="A43" t="s">
        <v>3</v>
      </c>
    </row>
    <row r="44" spans="1:9" x14ac:dyDescent="0.3">
      <c r="A44" s="12" t="s">
        <v>89</v>
      </c>
      <c r="B44" s="12"/>
    </row>
    <row r="45" spans="1:9" x14ac:dyDescent="0.3">
      <c r="A45" s="9" t="s">
        <v>90</v>
      </c>
      <c r="B45" s="9">
        <v>0.25911804999819932</v>
      </c>
    </row>
    <row r="46" spans="1:9" x14ac:dyDescent="0.3">
      <c r="A46" s="9" t="s">
        <v>91</v>
      </c>
      <c r="B46" s="13">
        <v>6.7142163834869317E-2</v>
      </c>
    </row>
    <row r="47" spans="1:9" x14ac:dyDescent="0.3">
      <c r="A47" s="9" t="s">
        <v>92</v>
      </c>
      <c r="B47" s="9">
        <v>6.0839070347267078E-2</v>
      </c>
    </row>
    <row r="48" spans="1:9" x14ac:dyDescent="0.3">
      <c r="A48" s="9" t="s">
        <v>93</v>
      </c>
      <c r="B48" s="9">
        <v>1549.6237949260287</v>
      </c>
    </row>
    <row r="49" spans="1:9" ht="15" thickBot="1" x14ac:dyDescent="0.35">
      <c r="A49" s="10" t="s">
        <v>94</v>
      </c>
      <c r="B49" s="10">
        <v>150</v>
      </c>
    </row>
    <row r="51" spans="1:9" ht="15" thickBot="1" x14ac:dyDescent="0.35">
      <c r="A51" t="s">
        <v>95</v>
      </c>
    </row>
    <row r="52" spans="1:9" x14ac:dyDescent="0.3">
      <c r="A52" s="11"/>
      <c r="B52" s="11" t="s">
        <v>100</v>
      </c>
      <c r="C52" s="11" t="s">
        <v>101</v>
      </c>
      <c r="D52" s="11" t="s">
        <v>102</v>
      </c>
      <c r="E52" s="11" t="s">
        <v>103</v>
      </c>
      <c r="F52" s="11" t="s">
        <v>104</v>
      </c>
    </row>
    <row r="53" spans="1:9" x14ac:dyDescent="0.3">
      <c r="A53" s="9" t="s">
        <v>96</v>
      </c>
      <c r="B53" s="9">
        <v>1</v>
      </c>
      <c r="C53" s="9">
        <v>25579622.901460052</v>
      </c>
      <c r="D53" s="9">
        <v>25579622.901460052</v>
      </c>
      <c r="E53" s="9">
        <v>10.652255748218474</v>
      </c>
      <c r="F53" s="9">
        <v>1.365458636838886E-3</v>
      </c>
    </row>
    <row r="54" spans="1:9" x14ac:dyDescent="0.3">
      <c r="A54" s="9" t="s">
        <v>97</v>
      </c>
      <c r="B54" s="9">
        <v>148</v>
      </c>
      <c r="C54" s="9">
        <v>355397418.05854011</v>
      </c>
      <c r="D54" s="9">
        <v>2401333.9058009465</v>
      </c>
      <c r="E54" s="9"/>
      <c r="F54" s="9"/>
    </row>
    <row r="55" spans="1:9" ht="15" thickBot="1" x14ac:dyDescent="0.35">
      <c r="A55" s="10" t="s">
        <v>98</v>
      </c>
      <c r="B55" s="10">
        <v>149</v>
      </c>
      <c r="C55" s="10">
        <v>380977040.96000016</v>
      </c>
      <c r="D55" s="10"/>
      <c r="E55" s="10"/>
      <c r="F55" s="10"/>
    </row>
    <row r="56" spans="1:9" ht="15" thickBot="1" x14ac:dyDescent="0.35"/>
    <row r="57" spans="1:9" x14ac:dyDescent="0.3">
      <c r="A57" s="11"/>
      <c r="B57" s="11" t="s">
        <v>105</v>
      </c>
      <c r="C57" s="11" t="s">
        <v>93</v>
      </c>
      <c r="D57" s="11" t="s">
        <v>106</v>
      </c>
      <c r="E57" s="11" t="s">
        <v>107</v>
      </c>
      <c r="F57" s="11" t="s">
        <v>108</v>
      </c>
      <c r="G57" s="11" t="s">
        <v>109</v>
      </c>
      <c r="H57" s="11" t="s">
        <v>110</v>
      </c>
      <c r="I57" s="11" t="s">
        <v>111</v>
      </c>
    </row>
    <row r="58" spans="1:9" x14ac:dyDescent="0.3">
      <c r="A58" s="9" t="s">
        <v>99</v>
      </c>
      <c r="B58" s="9">
        <v>4010.4144525547431</v>
      </c>
      <c r="C58" s="9">
        <v>298.39933368975159</v>
      </c>
      <c r="D58" s="9">
        <v>13.439756727890037</v>
      </c>
      <c r="E58" s="9">
        <v>2.02775595189212E-27</v>
      </c>
      <c r="F58" s="9">
        <v>3420.7408171710717</v>
      </c>
      <c r="G58" s="9">
        <v>4600.0880879384149</v>
      </c>
      <c r="H58" s="9">
        <v>3420.7408171710717</v>
      </c>
      <c r="I58" s="9">
        <v>4600.0880879384149</v>
      </c>
    </row>
    <row r="59" spans="1:9" ht="15" thickBot="1" x14ac:dyDescent="0.35">
      <c r="A59" s="10" t="s">
        <v>3</v>
      </c>
      <c r="B59" s="10">
        <v>529.21532846715388</v>
      </c>
      <c r="C59" s="10">
        <v>162.14800976519356</v>
      </c>
      <c r="D59" s="10">
        <v>3.2637793657381935</v>
      </c>
      <c r="E59" s="10">
        <v>1.36545863683894E-3</v>
      </c>
      <c r="F59" s="10">
        <v>208.79099907545395</v>
      </c>
      <c r="G59" s="10">
        <v>849.63965785885375</v>
      </c>
      <c r="H59" s="10">
        <v>208.79099907545395</v>
      </c>
      <c r="I59" s="10">
        <v>849.63965785885375</v>
      </c>
    </row>
    <row r="62" spans="1:9" x14ac:dyDescent="0.3">
      <c r="B62" t="s">
        <v>143</v>
      </c>
    </row>
    <row r="63" spans="1:9" x14ac:dyDescent="0.3">
      <c r="A63" t="s">
        <v>1</v>
      </c>
      <c r="B63">
        <f>1/(1-B26)</f>
        <v>1.6452018761147995</v>
      </c>
    </row>
    <row r="64" spans="1:9" x14ac:dyDescent="0.3">
      <c r="A64" t="s">
        <v>2</v>
      </c>
      <c r="B64">
        <f>1/(1-B5)</f>
        <v>6.3000017397356176</v>
      </c>
    </row>
    <row r="65" spans="1:2" x14ac:dyDescent="0.3">
      <c r="A65" t="s">
        <v>3</v>
      </c>
      <c r="B65">
        <f>1/(1-B46)</f>
        <v>1.0719747010014762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zoomScale="80" zoomScaleNormal="70" workbookViewId="0">
      <selection activeCell="M2" sqref="M2"/>
    </sheetView>
  </sheetViews>
  <sheetFormatPr defaultRowHeight="14.4" x14ac:dyDescent="0.3"/>
  <cols>
    <col min="1" max="1" width="13" customWidth="1"/>
    <col min="2" max="2" width="12" customWidth="1"/>
    <col min="3" max="3" width="5" customWidth="1"/>
    <col min="4" max="4" width="12" customWidth="1"/>
    <col min="5" max="5" width="17" customWidth="1"/>
    <col min="6" max="6" width="16" customWidth="1"/>
    <col min="7" max="7" width="8" customWidth="1"/>
    <col min="8" max="8" width="19" customWidth="1"/>
    <col min="9" max="9" width="17" customWidth="1"/>
    <col min="10" max="10" width="16" customWidth="1"/>
    <col min="11" max="11" width="15" customWidth="1"/>
    <col min="12" max="12" width="12" customWidth="1"/>
  </cols>
  <sheetData>
    <row r="1" spans="1:15" x14ac:dyDescent="0.3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>
        <v>1</v>
      </c>
      <c r="B2" t="s">
        <v>12</v>
      </c>
      <c r="C2">
        <v>29</v>
      </c>
      <c r="D2">
        <v>0</v>
      </c>
      <c r="E2">
        <v>3</v>
      </c>
      <c r="F2">
        <v>13</v>
      </c>
      <c r="G2">
        <v>3781</v>
      </c>
      <c r="H2">
        <v>65</v>
      </c>
      <c r="I2">
        <v>60</v>
      </c>
      <c r="J2">
        <v>70</v>
      </c>
      <c r="K2" t="s">
        <v>13</v>
      </c>
      <c r="L2">
        <v>1</v>
      </c>
    </row>
    <row r="3" spans="1:15" x14ac:dyDescent="0.3">
      <c r="A3">
        <v>2</v>
      </c>
      <c r="B3" t="s">
        <v>12</v>
      </c>
      <c r="C3">
        <v>35</v>
      </c>
      <c r="D3">
        <v>3</v>
      </c>
      <c r="E3">
        <v>2</v>
      </c>
      <c r="F3">
        <v>24</v>
      </c>
      <c r="G3">
        <v>4015</v>
      </c>
      <c r="H3">
        <v>83</v>
      </c>
      <c r="I3">
        <v>81</v>
      </c>
      <c r="J3">
        <v>85</v>
      </c>
      <c r="K3" t="s">
        <v>14</v>
      </c>
      <c r="L3">
        <v>0</v>
      </c>
    </row>
    <row r="4" spans="1:15" x14ac:dyDescent="0.3">
      <c r="A4">
        <v>3</v>
      </c>
      <c r="B4" t="s">
        <v>15</v>
      </c>
      <c r="C4">
        <v>22</v>
      </c>
      <c r="D4">
        <v>0</v>
      </c>
      <c r="E4">
        <v>3</v>
      </c>
      <c r="F4">
        <v>18</v>
      </c>
      <c r="G4">
        <v>3250</v>
      </c>
      <c r="H4">
        <v>62</v>
      </c>
      <c r="I4">
        <v>61</v>
      </c>
      <c r="J4">
        <v>63</v>
      </c>
      <c r="K4" t="s">
        <v>13</v>
      </c>
      <c r="L4">
        <v>0</v>
      </c>
      <c r="O4" s="6"/>
    </row>
    <row r="5" spans="1:15" x14ac:dyDescent="0.3">
      <c r="A5">
        <v>4</v>
      </c>
      <c r="B5" t="s">
        <v>12</v>
      </c>
      <c r="C5">
        <v>44</v>
      </c>
      <c r="D5">
        <v>19</v>
      </c>
      <c r="E5">
        <v>1</v>
      </c>
      <c r="F5">
        <v>30</v>
      </c>
      <c r="G5">
        <v>6317</v>
      </c>
      <c r="H5">
        <v>81</v>
      </c>
      <c r="I5">
        <v>79</v>
      </c>
      <c r="J5">
        <v>81</v>
      </c>
      <c r="K5" t="s">
        <v>14</v>
      </c>
      <c r="L5">
        <v>0</v>
      </c>
    </row>
    <row r="6" spans="1:15" x14ac:dyDescent="0.3">
      <c r="A6">
        <v>5</v>
      </c>
      <c r="B6" t="s">
        <v>12</v>
      </c>
      <c r="C6">
        <v>45</v>
      </c>
      <c r="D6">
        <v>18</v>
      </c>
      <c r="E6">
        <v>1</v>
      </c>
      <c r="F6">
        <v>27</v>
      </c>
      <c r="G6">
        <v>4866</v>
      </c>
      <c r="H6">
        <v>70</v>
      </c>
      <c r="I6">
        <v>69</v>
      </c>
      <c r="J6">
        <v>71</v>
      </c>
      <c r="K6" t="s">
        <v>14</v>
      </c>
      <c r="L6">
        <v>1</v>
      </c>
    </row>
    <row r="7" spans="1:15" x14ac:dyDescent="0.3">
      <c r="A7">
        <v>6</v>
      </c>
      <c r="B7" t="s">
        <v>12</v>
      </c>
      <c r="C7">
        <v>45</v>
      </c>
      <c r="D7">
        <v>5</v>
      </c>
      <c r="E7">
        <v>1</v>
      </c>
      <c r="F7">
        <v>16</v>
      </c>
      <c r="G7">
        <v>3481</v>
      </c>
      <c r="H7">
        <v>72</v>
      </c>
      <c r="I7">
        <v>65</v>
      </c>
      <c r="J7">
        <v>74</v>
      </c>
      <c r="K7" t="s">
        <v>13</v>
      </c>
      <c r="L7">
        <v>1</v>
      </c>
    </row>
    <row r="8" spans="1:15" x14ac:dyDescent="0.3">
      <c r="A8">
        <v>7</v>
      </c>
      <c r="B8" t="s">
        <v>16</v>
      </c>
      <c r="C8">
        <v>46</v>
      </c>
      <c r="D8">
        <v>8</v>
      </c>
      <c r="E8">
        <v>3</v>
      </c>
      <c r="F8">
        <v>27</v>
      </c>
      <c r="G8">
        <v>5542</v>
      </c>
      <c r="H8">
        <v>60</v>
      </c>
      <c r="I8">
        <v>57</v>
      </c>
      <c r="J8">
        <v>63</v>
      </c>
      <c r="K8" t="s">
        <v>14</v>
      </c>
      <c r="L8">
        <v>1</v>
      </c>
    </row>
    <row r="9" spans="1:15" x14ac:dyDescent="0.3">
      <c r="A9">
        <v>8</v>
      </c>
      <c r="B9" t="s">
        <v>15</v>
      </c>
      <c r="C9">
        <v>58</v>
      </c>
      <c r="D9">
        <v>20</v>
      </c>
      <c r="E9">
        <v>1</v>
      </c>
      <c r="F9">
        <v>25</v>
      </c>
      <c r="G9">
        <v>6013</v>
      </c>
      <c r="H9">
        <v>67</v>
      </c>
      <c r="I9">
        <v>63</v>
      </c>
      <c r="J9">
        <v>67</v>
      </c>
      <c r="K9" t="s">
        <v>14</v>
      </c>
      <c r="L9">
        <v>0</v>
      </c>
    </row>
    <row r="10" spans="1:15" x14ac:dyDescent="0.3">
      <c r="A10">
        <v>9</v>
      </c>
      <c r="B10" t="s">
        <v>12</v>
      </c>
      <c r="C10">
        <v>49</v>
      </c>
      <c r="D10">
        <v>18</v>
      </c>
      <c r="E10">
        <v>2</v>
      </c>
      <c r="F10">
        <v>16</v>
      </c>
      <c r="G10">
        <v>5721</v>
      </c>
      <c r="H10">
        <v>66</v>
      </c>
      <c r="I10">
        <v>62</v>
      </c>
      <c r="J10">
        <v>65</v>
      </c>
      <c r="K10" t="s">
        <v>13</v>
      </c>
      <c r="L10">
        <v>0</v>
      </c>
    </row>
    <row r="11" spans="1:15" x14ac:dyDescent="0.3">
      <c r="A11">
        <v>10</v>
      </c>
      <c r="B11" t="s">
        <v>15</v>
      </c>
      <c r="C11">
        <v>49</v>
      </c>
      <c r="D11">
        <v>19</v>
      </c>
      <c r="E11">
        <v>1</v>
      </c>
      <c r="F11">
        <v>17</v>
      </c>
      <c r="G11">
        <v>5907</v>
      </c>
      <c r="H11">
        <v>58</v>
      </c>
      <c r="I11">
        <v>55</v>
      </c>
      <c r="J11">
        <v>57</v>
      </c>
      <c r="K11" t="s">
        <v>14</v>
      </c>
      <c r="L11">
        <v>0</v>
      </c>
    </row>
    <row r="12" spans="1:15" x14ac:dyDescent="0.3">
      <c r="A12">
        <v>11</v>
      </c>
      <c r="B12" t="s">
        <v>12</v>
      </c>
      <c r="C12">
        <v>43</v>
      </c>
      <c r="D12">
        <v>3</v>
      </c>
      <c r="E12">
        <v>1</v>
      </c>
      <c r="F12">
        <v>18</v>
      </c>
      <c r="G12">
        <v>3105</v>
      </c>
      <c r="H12">
        <v>68</v>
      </c>
      <c r="I12">
        <v>66</v>
      </c>
      <c r="J12">
        <v>75</v>
      </c>
      <c r="K12" t="s">
        <v>14</v>
      </c>
      <c r="L12">
        <v>0</v>
      </c>
    </row>
    <row r="13" spans="1:15" x14ac:dyDescent="0.3">
      <c r="A13">
        <v>12</v>
      </c>
      <c r="B13" t="s">
        <v>12</v>
      </c>
      <c r="C13">
        <v>54</v>
      </c>
      <c r="D13">
        <v>12</v>
      </c>
      <c r="E13">
        <v>1</v>
      </c>
      <c r="F13">
        <v>16</v>
      </c>
      <c r="G13">
        <v>4491</v>
      </c>
      <c r="H13">
        <v>84</v>
      </c>
      <c r="I13">
        <v>86</v>
      </c>
      <c r="J13">
        <v>87</v>
      </c>
      <c r="K13" t="s">
        <v>14</v>
      </c>
      <c r="L13">
        <v>0</v>
      </c>
      <c r="N13" s="2"/>
    </row>
    <row r="14" spans="1:15" x14ac:dyDescent="0.3">
      <c r="A14">
        <v>13</v>
      </c>
      <c r="B14" t="s">
        <v>16</v>
      </c>
      <c r="C14">
        <v>41</v>
      </c>
      <c r="D14">
        <v>7</v>
      </c>
      <c r="E14">
        <v>1</v>
      </c>
      <c r="F14">
        <v>12</v>
      </c>
      <c r="G14">
        <v>4257</v>
      </c>
      <c r="H14">
        <v>66</v>
      </c>
      <c r="I14">
        <v>59</v>
      </c>
      <c r="J14">
        <v>68</v>
      </c>
      <c r="K14" t="s">
        <v>13</v>
      </c>
      <c r="L14">
        <v>1</v>
      </c>
    </row>
    <row r="15" spans="1:15" x14ac:dyDescent="0.3">
      <c r="A15">
        <v>14</v>
      </c>
      <c r="B15" t="s">
        <v>15</v>
      </c>
      <c r="C15">
        <v>52</v>
      </c>
      <c r="D15">
        <v>30</v>
      </c>
      <c r="E15">
        <v>2</v>
      </c>
      <c r="F15">
        <v>10</v>
      </c>
      <c r="G15">
        <v>8148</v>
      </c>
      <c r="H15">
        <v>70</v>
      </c>
      <c r="I15">
        <v>67</v>
      </c>
      <c r="J15">
        <v>72</v>
      </c>
      <c r="K15" t="s">
        <v>14</v>
      </c>
      <c r="L15">
        <v>1</v>
      </c>
    </row>
    <row r="16" spans="1:15" x14ac:dyDescent="0.3">
      <c r="A16">
        <v>15</v>
      </c>
      <c r="B16" t="s">
        <v>12</v>
      </c>
      <c r="C16">
        <v>55</v>
      </c>
      <c r="D16">
        <v>28</v>
      </c>
      <c r="E16">
        <v>1</v>
      </c>
      <c r="F16">
        <v>12</v>
      </c>
      <c r="G16">
        <v>6735</v>
      </c>
      <c r="H16">
        <v>72</v>
      </c>
      <c r="I16">
        <v>69</v>
      </c>
      <c r="J16">
        <v>79</v>
      </c>
      <c r="K16" t="s">
        <v>13</v>
      </c>
      <c r="L16">
        <v>1</v>
      </c>
    </row>
    <row r="17" spans="1:12" x14ac:dyDescent="0.3">
      <c r="A17">
        <v>16</v>
      </c>
      <c r="B17" t="s">
        <v>15</v>
      </c>
      <c r="C17">
        <v>25</v>
      </c>
      <c r="D17">
        <v>1</v>
      </c>
      <c r="E17">
        <v>1</v>
      </c>
      <c r="F17">
        <v>6</v>
      </c>
      <c r="G17">
        <v>2318</v>
      </c>
      <c r="H17">
        <v>70</v>
      </c>
      <c r="I17">
        <v>68</v>
      </c>
      <c r="J17">
        <v>77</v>
      </c>
      <c r="K17" t="s">
        <v>14</v>
      </c>
      <c r="L17">
        <v>1</v>
      </c>
    </row>
    <row r="18" spans="1:12" x14ac:dyDescent="0.3">
      <c r="A18">
        <v>17</v>
      </c>
      <c r="B18" t="s">
        <v>12</v>
      </c>
      <c r="C18">
        <v>52</v>
      </c>
      <c r="D18">
        <v>25</v>
      </c>
      <c r="E18">
        <v>2</v>
      </c>
      <c r="F18">
        <v>11</v>
      </c>
      <c r="G18">
        <v>6922</v>
      </c>
      <c r="H18">
        <v>88</v>
      </c>
      <c r="I18">
        <v>81</v>
      </c>
      <c r="J18">
        <v>89</v>
      </c>
      <c r="K18" t="s">
        <v>13</v>
      </c>
      <c r="L18">
        <v>0</v>
      </c>
    </row>
    <row r="19" spans="1:12" x14ac:dyDescent="0.3">
      <c r="A19">
        <v>18</v>
      </c>
      <c r="B19" t="s">
        <v>15</v>
      </c>
      <c r="C19">
        <v>28</v>
      </c>
      <c r="D19">
        <v>0</v>
      </c>
      <c r="E19">
        <v>2</v>
      </c>
      <c r="F19">
        <v>28</v>
      </c>
      <c r="G19">
        <v>2568</v>
      </c>
      <c r="H19">
        <v>72</v>
      </c>
      <c r="I19">
        <v>67</v>
      </c>
      <c r="J19">
        <v>76</v>
      </c>
      <c r="K19" t="s">
        <v>13</v>
      </c>
      <c r="L19">
        <v>0</v>
      </c>
    </row>
    <row r="20" spans="1:12" x14ac:dyDescent="0.3">
      <c r="A20">
        <v>19</v>
      </c>
      <c r="B20" t="s">
        <v>15</v>
      </c>
      <c r="C20">
        <v>39</v>
      </c>
      <c r="D20">
        <v>14</v>
      </c>
      <c r="E20">
        <v>1</v>
      </c>
      <c r="F20">
        <v>7</v>
      </c>
      <c r="G20">
        <v>4710</v>
      </c>
      <c r="H20">
        <v>59</v>
      </c>
      <c r="I20">
        <v>55</v>
      </c>
      <c r="J20">
        <v>57</v>
      </c>
      <c r="K20" t="s">
        <v>13</v>
      </c>
      <c r="L20">
        <v>1</v>
      </c>
    </row>
    <row r="21" spans="1:12" x14ac:dyDescent="0.3">
      <c r="A21">
        <v>20</v>
      </c>
      <c r="B21" t="s">
        <v>12</v>
      </c>
      <c r="C21">
        <v>53</v>
      </c>
      <c r="D21">
        <v>30</v>
      </c>
      <c r="E21">
        <v>1</v>
      </c>
      <c r="F21">
        <v>17</v>
      </c>
      <c r="G21">
        <v>7101</v>
      </c>
      <c r="H21">
        <v>74</v>
      </c>
      <c r="I21">
        <v>71</v>
      </c>
      <c r="J21">
        <v>79</v>
      </c>
      <c r="K21" t="s">
        <v>14</v>
      </c>
      <c r="L21">
        <v>0</v>
      </c>
    </row>
    <row r="22" spans="1:12" x14ac:dyDescent="0.3">
      <c r="A22">
        <v>21</v>
      </c>
      <c r="B22" t="s">
        <v>15</v>
      </c>
      <c r="C22">
        <v>57</v>
      </c>
      <c r="D22">
        <v>31</v>
      </c>
      <c r="E22">
        <v>1</v>
      </c>
      <c r="F22">
        <v>11</v>
      </c>
      <c r="G22">
        <v>6692</v>
      </c>
      <c r="H22">
        <v>58</v>
      </c>
      <c r="I22">
        <v>58</v>
      </c>
      <c r="J22">
        <v>64</v>
      </c>
      <c r="K22" t="s">
        <v>13</v>
      </c>
      <c r="L22">
        <v>0</v>
      </c>
    </row>
    <row r="23" spans="1:12" x14ac:dyDescent="0.3">
      <c r="A23">
        <v>22</v>
      </c>
      <c r="B23" t="s">
        <v>12</v>
      </c>
      <c r="C23">
        <v>54</v>
      </c>
      <c r="D23">
        <v>10</v>
      </c>
      <c r="E23">
        <v>1</v>
      </c>
      <c r="F23">
        <v>21</v>
      </c>
      <c r="G23">
        <v>4308</v>
      </c>
      <c r="H23">
        <v>70</v>
      </c>
      <c r="I23">
        <v>70</v>
      </c>
      <c r="J23">
        <v>77</v>
      </c>
      <c r="K23" t="s">
        <v>13</v>
      </c>
      <c r="L23">
        <v>0</v>
      </c>
    </row>
    <row r="24" spans="1:12" x14ac:dyDescent="0.3">
      <c r="A24">
        <v>23</v>
      </c>
      <c r="B24" t="s">
        <v>16</v>
      </c>
      <c r="C24">
        <v>24</v>
      </c>
      <c r="D24">
        <v>2</v>
      </c>
      <c r="E24">
        <v>1</v>
      </c>
      <c r="F24">
        <v>18</v>
      </c>
      <c r="G24">
        <v>3119</v>
      </c>
      <c r="H24">
        <v>76</v>
      </c>
      <c r="I24">
        <v>75</v>
      </c>
      <c r="J24">
        <v>79</v>
      </c>
      <c r="K24" t="s">
        <v>14</v>
      </c>
      <c r="L24">
        <v>1</v>
      </c>
    </row>
    <row r="25" spans="1:12" x14ac:dyDescent="0.3">
      <c r="A25">
        <v>24</v>
      </c>
      <c r="B25" t="s">
        <v>12</v>
      </c>
      <c r="C25">
        <v>41</v>
      </c>
      <c r="D25">
        <v>14</v>
      </c>
      <c r="E25">
        <v>1</v>
      </c>
      <c r="F25">
        <v>29</v>
      </c>
      <c r="G25">
        <v>5233</v>
      </c>
      <c r="H25">
        <v>63</v>
      </c>
      <c r="I25">
        <v>61</v>
      </c>
      <c r="J25">
        <v>63</v>
      </c>
      <c r="K25" t="s">
        <v>13</v>
      </c>
      <c r="L25">
        <v>0</v>
      </c>
    </row>
    <row r="26" spans="1:12" x14ac:dyDescent="0.3">
      <c r="A26">
        <v>25</v>
      </c>
      <c r="B26" t="s">
        <v>15</v>
      </c>
      <c r="C26">
        <v>30</v>
      </c>
      <c r="D26">
        <v>5</v>
      </c>
      <c r="E26">
        <v>1</v>
      </c>
      <c r="F26">
        <v>12</v>
      </c>
      <c r="G26">
        <v>3076</v>
      </c>
      <c r="H26">
        <v>82</v>
      </c>
      <c r="I26">
        <v>74</v>
      </c>
      <c r="J26">
        <v>84</v>
      </c>
      <c r="K26" t="s">
        <v>13</v>
      </c>
      <c r="L26">
        <v>0</v>
      </c>
    </row>
    <row r="27" spans="1:12" x14ac:dyDescent="0.3">
      <c r="A27">
        <v>26</v>
      </c>
      <c r="B27" t="s">
        <v>12</v>
      </c>
      <c r="C27">
        <v>57</v>
      </c>
      <c r="D27">
        <v>19</v>
      </c>
      <c r="E27">
        <v>3</v>
      </c>
      <c r="F27">
        <v>8</v>
      </c>
      <c r="G27">
        <v>6663</v>
      </c>
      <c r="H27">
        <v>66</v>
      </c>
      <c r="I27">
        <v>64</v>
      </c>
      <c r="J27">
        <v>69</v>
      </c>
      <c r="K27" t="s">
        <v>13</v>
      </c>
      <c r="L27">
        <v>0</v>
      </c>
    </row>
    <row r="28" spans="1:12" x14ac:dyDescent="0.3">
      <c r="A28">
        <v>27</v>
      </c>
      <c r="B28" t="s">
        <v>16</v>
      </c>
      <c r="C28">
        <v>35</v>
      </c>
      <c r="D28">
        <v>10</v>
      </c>
      <c r="E28">
        <v>3</v>
      </c>
      <c r="F28">
        <v>13</v>
      </c>
      <c r="G28">
        <v>5438</v>
      </c>
      <c r="H28">
        <v>82</v>
      </c>
      <c r="I28">
        <v>82</v>
      </c>
      <c r="J28">
        <v>87</v>
      </c>
      <c r="K28" t="s">
        <v>13</v>
      </c>
      <c r="L28">
        <v>1</v>
      </c>
    </row>
    <row r="29" spans="1:12" x14ac:dyDescent="0.3">
      <c r="A29">
        <v>28</v>
      </c>
      <c r="B29" t="s">
        <v>15</v>
      </c>
      <c r="C29">
        <v>30</v>
      </c>
      <c r="D29">
        <v>4</v>
      </c>
      <c r="E29">
        <v>1</v>
      </c>
      <c r="F29">
        <v>28</v>
      </c>
      <c r="G29">
        <v>2967</v>
      </c>
      <c r="H29">
        <v>65</v>
      </c>
      <c r="I29">
        <v>62</v>
      </c>
      <c r="J29">
        <v>64</v>
      </c>
      <c r="K29" t="s">
        <v>13</v>
      </c>
      <c r="L29">
        <v>0</v>
      </c>
    </row>
    <row r="30" spans="1:12" x14ac:dyDescent="0.3">
      <c r="A30">
        <v>29</v>
      </c>
      <c r="B30" t="s">
        <v>15</v>
      </c>
      <c r="C30">
        <v>45</v>
      </c>
      <c r="D30">
        <v>18</v>
      </c>
      <c r="E30">
        <v>2</v>
      </c>
      <c r="F30">
        <v>9</v>
      </c>
      <c r="G30">
        <v>4980</v>
      </c>
      <c r="H30">
        <v>58</v>
      </c>
      <c r="I30">
        <v>57</v>
      </c>
      <c r="J30">
        <v>63</v>
      </c>
      <c r="K30" t="s">
        <v>13</v>
      </c>
      <c r="L30">
        <v>0</v>
      </c>
    </row>
    <row r="31" spans="1:12" x14ac:dyDescent="0.3">
      <c r="A31">
        <v>30</v>
      </c>
      <c r="B31" t="s">
        <v>16</v>
      </c>
      <c r="C31">
        <v>44</v>
      </c>
      <c r="D31">
        <v>17</v>
      </c>
      <c r="E31">
        <v>2</v>
      </c>
      <c r="F31">
        <v>24</v>
      </c>
      <c r="G31">
        <v>5762</v>
      </c>
      <c r="H31">
        <v>80</v>
      </c>
      <c r="I31">
        <v>81</v>
      </c>
      <c r="J31">
        <v>82</v>
      </c>
      <c r="K31" t="s">
        <v>14</v>
      </c>
      <c r="L31">
        <v>0</v>
      </c>
    </row>
    <row r="32" spans="1:12" x14ac:dyDescent="0.3">
      <c r="A32">
        <v>31</v>
      </c>
      <c r="B32" t="s">
        <v>12</v>
      </c>
      <c r="C32">
        <v>48</v>
      </c>
      <c r="D32">
        <v>25</v>
      </c>
      <c r="E32">
        <v>3</v>
      </c>
      <c r="F32">
        <v>28</v>
      </c>
      <c r="G32">
        <v>7488</v>
      </c>
      <c r="H32">
        <v>59</v>
      </c>
      <c r="I32">
        <v>57</v>
      </c>
      <c r="J32">
        <v>65</v>
      </c>
      <c r="K32" t="s">
        <v>13</v>
      </c>
      <c r="L32">
        <v>0</v>
      </c>
    </row>
    <row r="33" spans="1:12" x14ac:dyDescent="0.3">
      <c r="A33">
        <v>32</v>
      </c>
      <c r="B33" t="s">
        <v>12</v>
      </c>
      <c r="C33">
        <v>51</v>
      </c>
      <c r="D33">
        <v>11</v>
      </c>
      <c r="E33">
        <v>1</v>
      </c>
      <c r="F33">
        <v>30</v>
      </c>
      <c r="G33">
        <v>4221</v>
      </c>
      <c r="H33">
        <v>82</v>
      </c>
      <c r="I33">
        <v>80</v>
      </c>
      <c r="J33">
        <v>86</v>
      </c>
      <c r="K33" t="s">
        <v>13</v>
      </c>
      <c r="L33">
        <v>0</v>
      </c>
    </row>
    <row r="34" spans="1:12" x14ac:dyDescent="0.3">
      <c r="A34">
        <v>33</v>
      </c>
      <c r="B34" t="s">
        <v>15</v>
      </c>
      <c r="C34">
        <v>39</v>
      </c>
      <c r="D34">
        <v>11</v>
      </c>
      <c r="E34">
        <v>3</v>
      </c>
      <c r="F34">
        <v>21</v>
      </c>
      <c r="G34">
        <v>5259</v>
      </c>
      <c r="H34">
        <v>74</v>
      </c>
      <c r="I34">
        <v>71</v>
      </c>
      <c r="J34">
        <v>74</v>
      </c>
      <c r="K34" t="s">
        <v>14</v>
      </c>
      <c r="L34">
        <v>1</v>
      </c>
    </row>
    <row r="35" spans="1:12" x14ac:dyDescent="0.3">
      <c r="A35">
        <v>34</v>
      </c>
      <c r="B35" t="s">
        <v>15</v>
      </c>
      <c r="C35">
        <v>49</v>
      </c>
      <c r="D35">
        <v>11</v>
      </c>
      <c r="E35">
        <v>3</v>
      </c>
      <c r="F35">
        <v>30</v>
      </c>
      <c r="G35">
        <v>5664</v>
      </c>
      <c r="H35">
        <v>66</v>
      </c>
      <c r="I35">
        <v>67</v>
      </c>
      <c r="J35">
        <v>72</v>
      </c>
      <c r="K35" t="s">
        <v>14</v>
      </c>
      <c r="L35">
        <v>1</v>
      </c>
    </row>
    <row r="36" spans="1:12" x14ac:dyDescent="0.3">
      <c r="A36">
        <v>35</v>
      </c>
      <c r="B36" t="s">
        <v>12</v>
      </c>
      <c r="C36">
        <v>56</v>
      </c>
      <c r="D36">
        <v>12</v>
      </c>
      <c r="E36">
        <v>1</v>
      </c>
      <c r="F36">
        <v>18</v>
      </c>
      <c r="G36">
        <v>5407</v>
      </c>
      <c r="H36">
        <v>66</v>
      </c>
      <c r="I36">
        <v>62</v>
      </c>
      <c r="J36">
        <v>67</v>
      </c>
      <c r="K36" t="s">
        <v>14</v>
      </c>
      <c r="L36">
        <v>0</v>
      </c>
    </row>
    <row r="37" spans="1:12" x14ac:dyDescent="0.3">
      <c r="A37">
        <v>36</v>
      </c>
      <c r="B37" t="s">
        <v>16</v>
      </c>
      <c r="C37">
        <v>42</v>
      </c>
      <c r="D37">
        <v>12</v>
      </c>
      <c r="E37">
        <v>3</v>
      </c>
      <c r="F37">
        <v>14</v>
      </c>
      <c r="G37">
        <v>5892</v>
      </c>
      <c r="H37">
        <v>72</v>
      </c>
      <c r="I37">
        <v>66</v>
      </c>
      <c r="J37">
        <v>76</v>
      </c>
      <c r="K37" t="s">
        <v>14</v>
      </c>
      <c r="L37">
        <v>1</v>
      </c>
    </row>
    <row r="38" spans="1:12" x14ac:dyDescent="0.3">
      <c r="A38">
        <v>37</v>
      </c>
      <c r="B38" t="s">
        <v>15</v>
      </c>
      <c r="C38">
        <v>22</v>
      </c>
      <c r="D38">
        <v>0</v>
      </c>
      <c r="E38">
        <v>1</v>
      </c>
      <c r="F38">
        <v>11</v>
      </c>
      <c r="G38">
        <v>2257</v>
      </c>
      <c r="H38">
        <v>86</v>
      </c>
      <c r="I38">
        <v>83</v>
      </c>
      <c r="J38">
        <v>87</v>
      </c>
      <c r="K38" t="s">
        <v>14</v>
      </c>
      <c r="L38">
        <v>0</v>
      </c>
    </row>
    <row r="39" spans="1:12" x14ac:dyDescent="0.3">
      <c r="A39">
        <v>38</v>
      </c>
      <c r="B39" t="s">
        <v>16</v>
      </c>
      <c r="C39">
        <v>32</v>
      </c>
      <c r="D39">
        <v>10</v>
      </c>
      <c r="E39">
        <v>1</v>
      </c>
      <c r="F39">
        <v>14</v>
      </c>
      <c r="G39">
        <v>4526</v>
      </c>
      <c r="H39">
        <v>79</v>
      </c>
      <c r="I39">
        <v>74</v>
      </c>
      <c r="J39">
        <v>78</v>
      </c>
      <c r="K39" t="s">
        <v>13</v>
      </c>
      <c r="L39">
        <v>1</v>
      </c>
    </row>
    <row r="40" spans="1:12" x14ac:dyDescent="0.3">
      <c r="A40">
        <v>39</v>
      </c>
      <c r="B40" t="s">
        <v>12</v>
      </c>
      <c r="C40">
        <v>24</v>
      </c>
      <c r="D40">
        <v>0</v>
      </c>
      <c r="E40">
        <v>2</v>
      </c>
      <c r="F40">
        <v>24</v>
      </c>
      <c r="G40">
        <v>3573</v>
      </c>
      <c r="H40">
        <v>70</v>
      </c>
      <c r="I40">
        <v>67</v>
      </c>
      <c r="J40">
        <v>74</v>
      </c>
      <c r="K40" t="s">
        <v>14</v>
      </c>
      <c r="L40">
        <v>1</v>
      </c>
    </row>
    <row r="41" spans="1:12" x14ac:dyDescent="0.3">
      <c r="A41">
        <v>40</v>
      </c>
      <c r="B41" t="s">
        <v>12</v>
      </c>
      <c r="C41">
        <v>22</v>
      </c>
      <c r="D41">
        <v>0</v>
      </c>
      <c r="E41">
        <v>2</v>
      </c>
      <c r="F41">
        <v>12</v>
      </c>
      <c r="G41">
        <v>3194</v>
      </c>
      <c r="H41">
        <v>71</v>
      </c>
      <c r="I41">
        <v>70</v>
      </c>
      <c r="J41">
        <v>72</v>
      </c>
      <c r="K41" t="s">
        <v>13</v>
      </c>
      <c r="L41">
        <v>0</v>
      </c>
    </row>
    <row r="42" spans="1:12" x14ac:dyDescent="0.3">
      <c r="A42">
        <v>41</v>
      </c>
      <c r="B42" t="s">
        <v>16</v>
      </c>
      <c r="C42">
        <v>55</v>
      </c>
      <c r="D42">
        <v>20</v>
      </c>
      <c r="E42">
        <v>2</v>
      </c>
      <c r="F42">
        <v>24</v>
      </c>
      <c r="G42">
        <v>8045</v>
      </c>
      <c r="H42">
        <v>69</v>
      </c>
      <c r="I42">
        <v>65</v>
      </c>
      <c r="J42">
        <v>73</v>
      </c>
      <c r="K42" t="s">
        <v>14</v>
      </c>
      <c r="L42">
        <v>0</v>
      </c>
    </row>
    <row r="43" spans="1:12" x14ac:dyDescent="0.3">
      <c r="A43">
        <v>42</v>
      </c>
      <c r="B43" t="s">
        <v>12</v>
      </c>
      <c r="C43">
        <v>39</v>
      </c>
      <c r="D43">
        <v>16</v>
      </c>
      <c r="E43">
        <v>2</v>
      </c>
      <c r="F43">
        <v>25</v>
      </c>
      <c r="G43">
        <v>5645</v>
      </c>
      <c r="H43">
        <v>72</v>
      </c>
      <c r="I43">
        <v>70</v>
      </c>
      <c r="J43">
        <v>75</v>
      </c>
      <c r="K43" t="s">
        <v>14</v>
      </c>
      <c r="L43">
        <v>0</v>
      </c>
    </row>
    <row r="44" spans="1:12" x14ac:dyDescent="0.3">
      <c r="A44">
        <v>43</v>
      </c>
      <c r="B44" t="s">
        <v>15</v>
      </c>
      <c r="C44">
        <v>27</v>
      </c>
      <c r="D44">
        <v>1</v>
      </c>
      <c r="E44">
        <v>1</v>
      </c>
      <c r="F44">
        <v>12</v>
      </c>
      <c r="G44">
        <v>1939</v>
      </c>
      <c r="H44">
        <v>84</v>
      </c>
      <c r="I44">
        <v>81</v>
      </c>
      <c r="J44">
        <v>88</v>
      </c>
      <c r="K44" t="s">
        <v>14</v>
      </c>
      <c r="L44">
        <v>1</v>
      </c>
    </row>
    <row r="45" spans="1:12" x14ac:dyDescent="0.3">
      <c r="A45">
        <v>44</v>
      </c>
      <c r="B45" t="s">
        <v>16</v>
      </c>
      <c r="C45">
        <v>35</v>
      </c>
      <c r="D45">
        <v>13</v>
      </c>
      <c r="E45">
        <v>2</v>
      </c>
      <c r="F45">
        <v>17</v>
      </c>
      <c r="G45">
        <v>5768</v>
      </c>
      <c r="H45">
        <v>84</v>
      </c>
      <c r="I45">
        <v>85</v>
      </c>
      <c r="J45">
        <v>86</v>
      </c>
      <c r="K45" t="s">
        <v>14</v>
      </c>
      <c r="L45">
        <v>0</v>
      </c>
    </row>
    <row r="46" spans="1:12" x14ac:dyDescent="0.3">
      <c r="A46">
        <v>45</v>
      </c>
      <c r="B46" t="s">
        <v>16</v>
      </c>
      <c r="C46">
        <v>48</v>
      </c>
      <c r="D46">
        <v>17</v>
      </c>
      <c r="E46">
        <v>3</v>
      </c>
      <c r="F46">
        <v>28</v>
      </c>
      <c r="G46">
        <v>7467</v>
      </c>
      <c r="H46">
        <v>76</v>
      </c>
      <c r="I46">
        <v>72</v>
      </c>
      <c r="J46">
        <v>79</v>
      </c>
      <c r="K46" t="s">
        <v>13</v>
      </c>
      <c r="L46">
        <v>0</v>
      </c>
    </row>
    <row r="47" spans="1:12" x14ac:dyDescent="0.3">
      <c r="A47">
        <v>46</v>
      </c>
      <c r="B47" t="s">
        <v>12</v>
      </c>
      <c r="C47">
        <v>47</v>
      </c>
      <c r="D47">
        <v>23</v>
      </c>
      <c r="E47">
        <v>1</v>
      </c>
      <c r="F47">
        <v>19</v>
      </c>
      <c r="G47">
        <v>6470</v>
      </c>
      <c r="H47">
        <v>59</v>
      </c>
      <c r="I47">
        <v>56</v>
      </c>
      <c r="J47">
        <v>58</v>
      </c>
      <c r="K47" t="s">
        <v>14</v>
      </c>
      <c r="L47">
        <v>1</v>
      </c>
    </row>
    <row r="48" spans="1:12" x14ac:dyDescent="0.3">
      <c r="A48">
        <v>47</v>
      </c>
      <c r="B48" t="s">
        <v>15</v>
      </c>
      <c r="C48">
        <v>51</v>
      </c>
      <c r="D48">
        <v>5</v>
      </c>
      <c r="E48">
        <v>1</v>
      </c>
      <c r="F48">
        <v>13</v>
      </c>
      <c r="G48">
        <v>3245</v>
      </c>
      <c r="H48">
        <v>78</v>
      </c>
      <c r="I48">
        <v>76</v>
      </c>
      <c r="J48">
        <v>83</v>
      </c>
      <c r="K48" t="s">
        <v>14</v>
      </c>
      <c r="L48">
        <v>1</v>
      </c>
    </row>
    <row r="49" spans="1:12" x14ac:dyDescent="0.3">
      <c r="A49">
        <v>48</v>
      </c>
      <c r="B49" t="s">
        <v>16</v>
      </c>
      <c r="C49">
        <v>27</v>
      </c>
      <c r="D49">
        <v>3</v>
      </c>
      <c r="E49">
        <v>1</v>
      </c>
      <c r="F49">
        <v>28</v>
      </c>
      <c r="G49">
        <v>3214</v>
      </c>
      <c r="H49">
        <v>56</v>
      </c>
      <c r="I49">
        <v>57</v>
      </c>
      <c r="J49">
        <v>58</v>
      </c>
      <c r="K49" t="s">
        <v>13</v>
      </c>
      <c r="L49">
        <v>0</v>
      </c>
    </row>
    <row r="50" spans="1:12" x14ac:dyDescent="0.3">
      <c r="A50">
        <v>49</v>
      </c>
      <c r="B50" t="s">
        <v>16</v>
      </c>
      <c r="C50">
        <v>31</v>
      </c>
      <c r="D50">
        <v>3</v>
      </c>
      <c r="E50">
        <v>1</v>
      </c>
      <c r="F50">
        <v>20</v>
      </c>
      <c r="G50">
        <v>3339</v>
      </c>
      <c r="H50">
        <v>80</v>
      </c>
      <c r="I50">
        <v>78</v>
      </c>
      <c r="J50">
        <v>81</v>
      </c>
      <c r="K50" t="s">
        <v>13</v>
      </c>
      <c r="L50">
        <v>0</v>
      </c>
    </row>
    <row r="51" spans="1:12" x14ac:dyDescent="0.3">
      <c r="A51">
        <v>50</v>
      </c>
      <c r="B51" t="s">
        <v>12</v>
      </c>
      <c r="C51">
        <v>32</v>
      </c>
      <c r="D51">
        <v>4</v>
      </c>
      <c r="E51">
        <v>1</v>
      </c>
      <c r="F51">
        <v>23</v>
      </c>
      <c r="G51">
        <v>3599</v>
      </c>
      <c r="H51">
        <v>79</v>
      </c>
      <c r="I51">
        <v>80</v>
      </c>
      <c r="J51">
        <v>84</v>
      </c>
      <c r="K51" t="s">
        <v>13</v>
      </c>
      <c r="L51">
        <v>1</v>
      </c>
    </row>
    <row r="52" spans="1:12" x14ac:dyDescent="0.3">
      <c r="A52">
        <v>51</v>
      </c>
      <c r="B52" t="s">
        <v>16</v>
      </c>
      <c r="C52">
        <v>41</v>
      </c>
      <c r="D52">
        <v>19</v>
      </c>
      <c r="E52">
        <v>1</v>
      </c>
      <c r="F52">
        <v>30</v>
      </c>
      <c r="G52">
        <v>6516</v>
      </c>
      <c r="H52">
        <v>82</v>
      </c>
      <c r="I52">
        <v>82</v>
      </c>
      <c r="J52">
        <v>88</v>
      </c>
      <c r="K52" t="s">
        <v>14</v>
      </c>
      <c r="L52">
        <v>1</v>
      </c>
    </row>
    <row r="53" spans="1:12" x14ac:dyDescent="0.3">
      <c r="A53">
        <v>52</v>
      </c>
      <c r="B53" t="s">
        <v>15</v>
      </c>
      <c r="C53">
        <v>48</v>
      </c>
      <c r="D53">
        <v>26</v>
      </c>
      <c r="E53">
        <v>2</v>
      </c>
      <c r="F53">
        <v>8</v>
      </c>
      <c r="G53">
        <v>7095</v>
      </c>
      <c r="H53">
        <v>72</v>
      </c>
      <c r="I53">
        <v>66</v>
      </c>
      <c r="J53">
        <v>75</v>
      </c>
      <c r="K53" t="s">
        <v>14</v>
      </c>
      <c r="L53">
        <v>0</v>
      </c>
    </row>
    <row r="54" spans="1:12" x14ac:dyDescent="0.3">
      <c r="A54">
        <v>53</v>
      </c>
      <c r="B54" t="s">
        <v>16</v>
      </c>
      <c r="C54">
        <v>56</v>
      </c>
      <c r="D54">
        <v>30</v>
      </c>
      <c r="E54">
        <v>2</v>
      </c>
      <c r="F54">
        <v>18</v>
      </c>
      <c r="G54">
        <v>8603</v>
      </c>
      <c r="H54">
        <v>62</v>
      </c>
      <c r="I54">
        <v>60</v>
      </c>
      <c r="J54">
        <v>65</v>
      </c>
      <c r="K54" t="s">
        <v>13</v>
      </c>
      <c r="L54">
        <v>0</v>
      </c>
    </row>
    <row r="55" spans="1:12" x14ac:dyDescent="0.3">
      <c r="A55">
        <v>54</v>
      </c>
      <c r="B55" t="s">
        <v>15</v>
      </c>
      <c r="C55">
        <v>58</v>
      </c>
      <c r="D55">
        <v>24</v>
      </c>
      <c r="E55">
        <v>1</v>
      </c>
      <c r="F55">
        <v>5</v>
      </c>
      <c r="G55">
        <v>7085</v>
      </c>
      <c r="H55">
        <v>74</v>
      </c>
      <c r="I55">
        <v>68</v>
      </c>
      <c r="J55">
        <v>74</v>
      </c>
      <c r="K55" t="s">
        <v>14</v>
      </c>
      <c r="L55">
        <v>1</v>
      </c>
    </row>
    <row r="56" spans="1:12" x14ac:dyDescent="0.3">
      <c r="A56">
        <v>55</v>
      </c>
      <c r="B56" t="s">
        <v>12</v>
      </c>
      <c r="C56">
        <v>39</v>
      </c>
      <c r="D56">
        <v>17</v>
      </c>
      <c r="E56">
        <v>1</v>
      </c>
      <c r="F56">
        <v>21</v>
      </c>
      <c r="G56">
        <v>5082</v>
      </c>
      <c r="H56">
        <v>76</v>
      </c>
      <c r="I56">
        <v>70</v>
      </c>
      <c r="J56">
        <v>78</v>
      </c>
      <c r="K56" t="s">
        <v>14</v>
      </c>
      <c r="L56">
        <v>1</v>
      </c>
    </row>
    <row r="57" spans="1:12" x14ac:dyDescent="0.3">
      <c r="A57">
        <v>56</v>
      </c>
      <c r="B57" t="s">
        <v>15</v>
      </c>
      <c r="C57">
        <v>23</v>
      </c>
      <c r="D57">
        <v>0</v>
      </c>
      <c r="E57">
        <v>1</v>
      </c>
      <c r="F57">
        <v>12</v>
      </c>
      <c r="G57">
        <v>2330</v>
      </c>
      <c r="H57">
        <v>83</v>
      </c>
      <c r="I57">
        <v>78</v>
      </c>
      <c r="J57">
        <v>86</v>
      </c>
      <c r="K57" t="s">
        <v>14</v>
      </c>
      <c r="L57">
        <v>1</v>
      </c>
    </row>
    <row r="58" spans="1:12" x14ac:dyDescent="0.3">
      <c r="A58">
        <v>57</v>
      </c>
      <c r="B58" t="s">
        <v>15</v>
      </c>
      <c r="C58">
        <v>57</v>
      </c>
      <c r="D58">
        <v>21</v>
      </c>
      <c r="E58">
        <v>1</v>
      </c>
      <c r="F58">
        <v>27</v>
      </c>
      <c r="G58">
        <v>5720</v>
      </c>
      <c r="H58">
        <v>63</v>
      </c>
      <c r="I58">
        <v>62</v>
      </c>
      <c r="J58">
        <v>66</v>
      </c>
      <c r="K58" t="s">
        <v>13</v>
      </c>
      <c r="L58">
        <v>0</v>
      </c>
    </row>
    <row r="59" spans="1:12" x14ac:dyDescent="0.3">
      <c r="A59">
        <v>58</v>
      </c>
      <c r="B59" t="s">
        <v>15</v>
      </c>
      <c r="C59">
        <v>33</v>
      </c>
      <c r="D59">
        <v>3</v>
      </c>
      <c r="E59">
        <v>1</v>
      </c>
      <c r="F59">
        <v>28</v>
      </c>
      <c r="G59">
        <v>2688</v>
      </c>
      <c r="H59">
        <v>74</v>
      </c>
      <c r="I59">
        <v>73</v>
      </c>
      <c r="J59">
        <v>77</v>
      </c>
      <c r="K59" t="s">
        <v>13</v>
      </c>
      <c r="L59">
        <v>1</v>
      </c>
    </row>
    <row r="60" spans="1:12" x14ac:dyDescent="0.3">
      <c r="A60">
        <v>59</v>
      </c>
      <c r="B60" t="s">
        <v>12</v>
      </c>
      <c r="C60">
        <v>56</v>
      </c>
      <c r="D60">
        <v>8</v>
      </c>
      <c r="E60">
        <v>1</v>
      </c>
      <c r="F60">
        <v>6</v>
      </c>
      <c r="G60">
        <v>4366</v>
      </c>
      <c r="H60">
        <v>62</v>
      </c>
      <c r="I60">
        <v>61</v>
      </c>
      <c r="J60">
        <v>62</v>
      </c>
      <c r="K60" t="s">
        <v>14</v>
      </c>
      <c r="L60">
        <v>1</v>
      </c>
    </row>
    <row r="61" spans="1:12" x14ac:dyDescent="0.3">
      <c r="A61">
        <v>60</v>
      </c>
      <c r="B61" t="s">
        <v>15</v>
      </c>
      <c r="C61">
        <v>50</v>
      </c>
      <c r="D61">
        <v>10</v>
      </c>
      <c r="E61">
        <v>1</v>
      </c>
      <c r="F61">
        <v>6</v>
      </c>
      <c r="G61">
        <v>4370</v>
      </c>
      <c r="H61">
        <v>81</v>
      </c>
      <c r="I61">
        <v>80</v>
      </c>
      <c r="J61">
        <v>88</v>
      </c>
      <c r="K61" t="s">
        <v>13</v>
      </c>
      <c r="L61">
        <v>1</v>
      </c>
    </row>
    <row r="62" spans="1:12" x14ac:dyDescent="0.3">
      <c r="A62">
        <v>61</v>
      </c>
      <c r="B62" t="s">
        <v>12</v>
      </c>
      <c r="C62">
        <v>58</v>
      </c>
      <c r="D62">
        <v>19</v>
      </c>
      <c r="E62">
        <v>1</v>
      </c>
      <c r="F62">
        <v>12</v>
      </c>
      <c r="G62">
        <v>6214</v>
      </c>
      <c r="H62">
        <v>92</v>
      </c>
      <c r="I62">
        <v>88</v>
      </c>
      <c r="J62">
        <v>95</v>
      </c>
      <c r="K62" t="s">
        <v>14</v>
      </c>
      <c r="L62">
        <v>1</v>
      </c>
    </row>
    <row r="63" spans="1:12" x14ac:dyDescent="0.3">
      <c r="A63">
        <v>62</v>
      </c>
      <c r="B63" t="s">
        <v>12</v>
      </c>
      <c r="C63">
        <v>49</v>
      </c>
      <c r="D63">
        <v>9</v>
      </c>
      <c r="E63">
        <v>2</v>
      </c>
      <c r="F63">
        <v>24</v>
      </c>
      <c r="G63">
        <v>4548</v>
      </c>
      <c r="H63">
        <v>70</v>
      </c>
      <c r="I63">
        <v>71</v>
      </c>
      <c r="J63">
        <v>73</v>
      </c>
      <c r="K63" t="s">
        <v>13</v>
      </c>
      <c r="L63">
        <v>1</v>
      </c>
    </row>
    <row r="64" spans="1:12" x14ac:dyDescent="0.3">
      <c r="A64">
        <v>63</v>
      </c>
      <c r="B64" t="s">
        <v>15</v>
      </c>
      <c r="C64">
        <v>26</v>
      </c>
      <c r="D64">
        <v>1</v>
      </c>
      <c r="E64">
        <v>1</v>
      </c>
      <c r="F64">
        <v>18</v>
      </c>
      <c r="G64">
        <v>2263</v>
      </c>
      <c r="H64">
        <v>74</v>
      </c>
      <c r="I64">
        <v>69</v>
      </c>
      <c r="J64">
        <v>74</v>
      </c>
      <c r="K64" t="s">
        <v>14</v>
      </c>
      <c r="L64">
        <v>0</v>
      </c>
    </row>
    <row r="65" spans="1:12" x14ac:dyDescent="0.3">
      <c r="A65">
        <v>64</v>
      </c>
      <c r="B65" t="s">
        <v>15</v>
      </c>
      <c r="C65">
        <v>51</v>
      </c>
      <c r="D65">
        <v>2</v>
      </c>
      <c r="E65">
        <v>3</v>
      </c>
      <c r="F65">
        <v>12</v>
      </c>
      <c r="G65">
        <v>3841</v>
      </c>
      <c r="H65">
        <v>70</v>
      </c>
      <c r="I65">
        <v>69</v>
      </c>
      <c r="J65">
        <v>72</v>
      </c>
      <c r="K65" t="s">
        <v>13</v>
      </c>
      <c r="L65">
        <v>1</v>
      </c>
    </row>
    <row r="66" spans="1:12" x14ac:dyDescent="0.3">
      <c r="A66">
        <v>65</v>
      </c>
      <c r="B66" t="s">
        <v>16</v>
      </c>
      <c r="C66">
        <v>32</v>
      </c>
      <c r="D66">
        <v>4</v>
      </c>
      <c r="E66">
        <v>2</v>
      </c>
      <c r="F66">
        <v>28</v>
      </c>
      <c r="G66">
        <v>4267</v>
      </c>
      <c r="H66">
        <v>88</v>
      </c>
      <c r="I66">
        <v>84</v>
      </c>
      <c r="J66">
        <v>89</v>
      </c>
      <c r="K66" t="s">
        <v>14</v>
      </c>
      <c r="L66">
        <v>0</v>
      </c>
    </row>
    <row r="67" spans="1:12" x14ac:dyDescent="0.3">
      <c r="A67">
        <v>66</v>
      </c>
      <c r="B67" t="s">
        <v>16</v>
      </c>
      <c r="C67">
        <v>54</v>
      </c>
      <c r="D67">
        <v>31</v>
      </c>
      <c r="E67">
        <v>2</v>
      </c>
      <c r="F67">
        <v>7</v>
      </c>
      <c r="G67">
        <v>7771</v>
      </c>
      <c r="H67">
        <v>55</v>
      </c>
      <c r="I67">
        <v>56</v>
      </c>
      <c r="J67">
        <v>58</v>
      </c>
      <c r="K67" t="s">
        <v>13</v>
      </c>
      <c r="L67">
        <v>0</v>
      </c>
    </row>
    <row r="68" spans="1:12" x14ac:dyDescent="0.3">
      <c r="A68">
        <v>67</v>
      </c>
      <c r="B68" t="s">
        <v>16</v>
      </c>
      <c r="C68">
        <v>39</v>
      </c>
      <c r="D68">
        <v>1</v>
      </c>
      <c r="E68">
        <v>1</v>
      </c>
      <c r="F68">
        <v>20</v>
      </c>
      <c r="G68">
        <v>3422</v>
      </c>
      <c r="H68">
        <v>83</v>
      </c>
      <c r="I68">
        <v>82</v>
      </c>
      <c r="J68">
        <v>90</v>
      </c>
      <c r="K68" t="s">
        <v>14</v>
      </c>
      <c r="L68">
        <v>1</v>
      </c>
    </row>
    <row r="69" spans="1:12" x14ac:dyDescent="0.3">
      <c r="A69">
        <v>68</v>
      </c>
      <c r="B69" t="s">
        <v>12</v>
      </c>
      <c r="C69">
        <v>43</v>
      </c>
      <c r="D69">
        <v>10</v>
      </c>
      <c r="E69">
        <v>3</v>
      </c>
      <c r="F69">
        <v>8</v>
      </c>
      <c r="G69">
        <v>5514</v>
      </c>
      <c r="H69">
        <v>82</v>
      </c>
      <c r="I69">
        <v>80</v>
      </c>
      <c r="J69">
        <v>89</v>
      </c>
      <c r="K69" t="s">
        <v>14</v>
      </c>
      <c r="L69">
        <v>1</v>
      </c>
    </row>
    <row r="70" spans="1:12" x14ac:dyDescent="0.3">
      <c r="A70">
        <v>69</v>
      </c>
      <c r="B70" t="s">
        <v>15</v>
      </c>
      <c r="C70">
        <v>38</v>
      </c>
      <c r="D70">
        <v>10</v>
      </c>
      <c r="E70">
        <v>1</v>
      </c>
      <c r="F70">
        <v>29</v>
      </c>
      <c r="G70">
        <v>4407</v>
      </c>
      <c r="H70">
        <v>84</v>
      </c>
      <c r="I70">
        <v>84</v>
      </c>
      <c r="J70">
        <v>91</v>
      </c>
      <c r="K70" t="s">
        <v>13</v>
      </c>
      <c r="L70">
        <v>0</v>
      </c>
    </row>
    <row r="71" spans="1:12" x14ac:dyDescent="0.3">
      <c r="A71">
        <v>70</v>
      </c>
      <c r="B71" t="s">
        <v>15</v>
      </c>
      <c r="C71">
        <v>53</v>
      </c>
      <c r="D71">
        <v>28</v>
      </c>
      <c r="E71">
        <v>1</v>
      </c>
      <c r="F71">
        <v>11</v>
      </c>
      <c r="G71">
        <v>6862</v>
      </c>
      <c r="H71">
        <v>84</v>
      </c>
      <c r="I71">
        <v>86</v>
      </c>
      <c r="J71">
        <v>88</v>
      </c>
      <c r="K71" t="s">
        <v>13</v>
      </c>
      <c r="L71">
        <v>0</v>
      </c>
    </row>
    <row r="72" spans="1:12" x14ac:dyDescent="0.3">
      <c r="A72">
        <v>71</v>
      </c>
      <c r="B72" t="s">
        <v>15</v>
      </c>
      <c r="C72">
        <v>41</v>
      </c>
      <c r="D72">
        <v>17</v>
      </c>
      <c r="E72">
        <v>1</v>
      </c>
      <c r="F72">
        <v>22</v>
      </c>
      <c r="G72">
        <v>4692</v>
      </c>
      <c r="H72">
        <v>64</v>
      </c>
      <c r="I72">
        <v>62</v>
      </c>
      <c r="J72">
        <v>65</v>
      </c>
      <c r="K72" t="s">
        <v>14</v>
      </c>
      <c r="L72">
        <v>0</v>
      </c>
    </row>
    <row r="73" spans="1:12" x14ac:dyDescent="0.3">
      <c r="A73">
        <v>72</v>
      </c>
      <c r="B73" t="s">
        <v>12</v>
      </c>
      <c r="C73">
        <v>39</v>
      </c>
      <c r="D73">
        <v>13</v>
      </c>
      <c r="E73">
        <v>2</v>
      </c>
      <c r="F73">
        <v>20</v>
      </c>
      <c r="G73">
        <v>4958</v>
      </c>
      <c r="H73">
        <v>92</v>
      </c>
      <c r="I73">
        <v>87</v>
      </c>
      <c r="J73">
        <v>90</v>
      </c>
      <c r="K73" t="s">
        <v>13</v>
      </c>
      <c r="L73">
        <v>1</v>
      </c>
    </row>
    <row r="74" spans="1:12" x14ac:dyDescent="0.3">
      <c r="A74">
        <v>73</v>
      </c>
      <c r="B74" t="s">
        <v>12</v>
      </c>
      <c r="C74">
        <v>48</v>
      </c>
      <c r="D74">
        <v>10</v>
      </c>
      <c r="E74">
        <v>2</v>
      </c>
      <c r="F74">
        <v>13</v>
      </c>
      <c r="G74">
        <v>5106</v>
      </c>
      <c r="H74">
        <v>88</v>
      </c>
      <c r="I74">
        <v>86</v>
      </c>
      <c r="J74">
        <v>89</v>
      </c>
      <c r="K74" t="s">
        <v>14</v>
      </c>
      <c r="L74">
        <v>1</v>
      </c>
    </row>
    <row r="75" spans="1:12" x14ac:dyDescent="0.3">
      <c r="A75">
        <v>74</v>
      </c>
      <c r="B75" t="s">
        <v>15</v>
      </c>
      <c r="C75">
        <v>57</v>
      </c>
      <c r="D75">
        <v>34</v>
      </c>
      <c r="E75">
        <v>2</v>
      </c>
      <c r="F75">
        <v>19</v>
      </c>
      <c r="G75">
        <v>9356</v>
      </c>
      <c r="H75">
        <v>84</v>
      </c>
      <c r="I75">
        <v>79</v>
      </c>
      <c r="J75">
        <v>83</v>
      </c>
      <c r="K75" t="s">
        <v>14</v>
      </c>
      <c r="L75">
        <v>1</v>
      </c>
    </row>
    <row r="76" spans="1:12" x14ac:dyDescent="0.3">
      <c r="A76">
        <v>75</v>
      </c>
      <c r="B76" t="s">
        <v>16</v>
      </c>
      <c r="C76">
        <v>52</v>
      </c>
      <c r="D76">
        <v>22</v>
      </c>
      <c r="E76">
        <v>2</v>
      </c>
      <c r="F76">
        <v>17</v>
      </c>
      <c r="G76">
        <v>7160</v>
      </c>
      <c r="H76">
        <v>68</v>
      </c>
      <c r="I76">
        <v>63</v>
      </c>
      <c r="J76">
        <v>72</v>
      </c>
      <c r="K76" t="s">
        <v>14</v>
      </c>
      <c r="L76">
        <v>0</v>
      </c>
    </row>
    <row r="77" spans="1:12" x14ac:dyDescent="0.3">
      <c r="A77">
        <v>76</v>
      </c>
      <c r="B77" t="s">
        <v>12</v>
      </c>
      <c r="C77">
        <v>50</v>
      </c>
      <c r="D77">
        <v>3</v>
      </c>
      <c r="E77">
        <v>2</v>
      </c>
      <c r="F77">
        <v>19</v>
      </c>
      <c r="G77">
        <v>3622</v>
      </c>
      <c r="H77">
        <v>66</v>
      </c>
      <c r="I77">
        <v>59</v>
      </c>
      <c r="J77">
        <v>67</v>
      </c>
      <c r="K77" t="s">
        <v>14</v>
      </c>
      <c r="L77">
        <v>1</v>
      </c>
    </row>
    <row r="78" spans="1:12" x14ac:dyDescent="0.3">
      <c r="A78">
        <v>77</v>
      </c>
      <c r="B78" t="s">
        <v>16</v>
      </c>
      <c r="C78">
        <v>47</v>
      </c>
      <c r="D78">
        <v>20</v>
      </c>
      <c r="E78">
        <v>1</v>
      </c>
      <c r="F78">
        <v>15</v>
      </c>
      <c r="G78">
        <v>7108</v>
      </c>
      <c r="H78">
        <v>59</v>
      </c>
      <c r="I78">
        <v>57</v>
      </c>
      <c r="J78">
        <v>67</v>
      </c>
      <c r="K78" t="s">
        <v>13</v>
      </c>
      <c r="L78">
        <v>0</v>
      </c>
    </row>
    <row r="79" spans="1:12" x14ac:dyDescent="0.3">
      <c r="A79">
        <v>78</v>
      </c>
      <c r="B79" t="s">
        <v>15</v>
      </c>
      <c r="C79">
        <v>40</v>
      </c>
      <c r="D79">
        <v>7</v>
      </c>
      <c r="E79">
        <v>3</v>
      </c>
      <c r="F79">
        <v>7</v>
      </c>
      <c r="G79">
        <v>4077</v>
      </c>
      <c r="H79">
        <v>72</v>
      </c>
      <c r="I79">
        <v>74</v>
      </c>
      <c r="J79">
        <v>75</v>
      </c>
      <c r="K79" t="s">
        <v>14</v>
      </c>
      <c r="L79">
        <v>0</v>
      </c>
    </row>
    <row r="80" spans="1:12" x14ac:dyDescent="0.3">
      <c r="A80">
        <v>79</v>
      </c>
      <c r="B80" t="s">
        <v>12</v>
      </c>
      <c r="C80">
        <v>40</v>
      </c>
      <c r="D80">
        <v>11</v>
      </c>
      <c r="E80">
        <v>1</v>
      </c>
      <c r="F80">
        <v>18</v>
      </c>
      <c r="G80">
        <v>4395</v>
      </c>
      <c r="H80">
        <v>64</v>
      </c>
      <c r="I80">
        <v>65</v>
      </c>
      <c r="J80">
        <v>68</v>
      </c>
      <c r="K80" t="s">
        <v>14</v>
      </c>
      <c r="L80">
        <v>0</v>
      </c>
    </row>
    <row r="81" spans="1:12" x14ac:dyDescent="0.3">
      <c r="A81">
        <v>80</v>
      </c>
      <c r="B81" t="s">
        <v>12</v>
      </c>
      <c r="C81">
        <v>37</v>
      </c>
      <c r="D81">
        <v>15</v>
      </c>
      <c r="E81">
        <v>2</v>
      </c>
      <c r="F81">
        <v>9</v>
      </c>
      <c r="G81">
        <v>5297</v>
      </c>
      <c r="H81">
        <v>58</v>
      </c>
      <c r="I81">
        <v>55</v>
      </c>
      <c r="J81">
        <v>63</v>
      </c>
      <c r="K81" t="s">
        <v>13</v>
      </c>
      <c r="L81">
        <v>1</v>
      </c>
    </row>
    <row r="82" spans="1:12" x14ac:dyDescent="0.3">
      <c r="A82">
        <v>81</v>
      </c>
      <c r="B82" t="s">
        <v>15</v>
      </c>
      <c r="C82">
        <v>44</v>
      </c>
      <c r="D82">
        <v>18</v>
      </c>
      <c r="E82">
        <v>1</v>
      </c>
      <c r="F82">
        <v>25</v>
      </c>
      <c r="G82">
        <v>5628</v>
      </c>
      <c r="H82">
        <v>74</v>
      </c>
      <c r="I82">
        <v>67</v>
      </c>
      <c r="J82">
        <v>74</v>
      </c>
      <c r="K82" t="s">
        <v>14</v>
      </c>
      <c r="L82">
        <v>1</v>
      </c>
    </row>
    <row r="83" spans="1:12" x14ac:dyDescent="0.3">
      <c r="A83">
        <v>82</v>
      </c>
      <c r="B83" t="s">
        <v>15</v>
      </c>
      <c r="C83">
        <v>46</v>
      </c>
      <c r="D83">
        <v>18</v>
      </c>
      <c r="E83">
        <v>1</v>
      </c>
      <c r="F83">
        <v>23</v>
      </c>
      <c r="G83">
        <v>5615</v>
      </c>
      <c r="H83">
        <v>74</v>
      </c>
      <c r="I83">
        <v>72</v>
      </c>
      <c r="J83">
        <v>73</v>
      </c>
      <c r="K83" t="s">
        <v>13</v>
      </c>
      <c r="L83">
        <v>0</v>
      </c>
    </row>
    <row r="84" spans="1:12" x14ac:dyDescent="0.3">
      <c r="A84">
        <v>83</v>
      </c>
      <c r="B84" t="s">
        <v>15</v>
      </c>
      <c r="C84">
        <v>53</v>
      </c>
      <c r="D84">
        <v>18</v>
      </c>
      <c r="E84">
        <v>1</v>
      </c>
      <c r="F84">
        <v>24</v>
      </c>
      <c r="G84">
        <v>5124</v>
      </c>
      <c r="H84">
        <v>66</v>
      </c>
      <c r="I84">
        <v>63</v>
      </c>
      <c r="J84">
        <v>65</v>
      </c>
      <c r="K84" t="s">
        <v>13</v>
      </c>
      <c r="L84">
        <v>1</v>
      </c>
    </row>
    <row r="85" spans="1:12" x14ac:dyDescent="0.3">
      <c r="A85">
        <v>84</v>
      </c>
      <c r="B85" t="s">
        <v>16</v>
      </c>
      <c r="C85">
        <v>50</v>
      </c>
      <c r="D85">
        <v>1</v>
      </c>
      <c r="E85">
        <v>2</v>
      </c>
      <c r="F85">
        <v>16</v>
      </c>
      <c r="G85">
        <v>3654</v>
      </c>
      <c r="H85">
        <v>80</v>
      </c>
      <c r="I85">
        <v>81</v>
      </c>
      <c r="J85">
        <v>84</v>
      </c>
      <c r="K85" t="s">
        <v>13</v>
      </c>
      <c r="L85">
        <v>0</v>
      </c>
    </row>
    <row r="86" spans="1:12" x14ac:dyDescent="0.3">
      <c r="A86">
        <v>85</v>
      </c>
      <c r="B86" t="s">
        <v>12</v>
      </c>
      <c r="C86">
        <v>45</v>
      </c>
      <c r="D86">
        <v>16</v>
      </c>
      <c r="E86">
        <v>2</v>
      </c>
      <c r="F86">
        <v>13</v>
      </c>
      <c r="G86">
        <v>5803</v>
      </c>
      <c r="H86">
        <v>63</v>
      </c>
      <c r="I86">
        <v>62</v>
      </c>
      <c r="J86">
        <v>70</v>
      </c>
      <c r="K86" t="s">
        <v>13</v>
      </c>
      <c r="L86">
        <v>0</v>
      </c>
    </row>
    <row r="87" spans="1:12" x14ac:dyDescent="0.3">
      <c r="A87">
        <v>86</v>
      </c>
      <c r="B87" t="s">
        <v>16</v>
      </c>
      <c r="C87">
        <v>36</v>
      </c>
      <c r="D87">
        <v>13</v>
      </c>
      <c r="E87">
        <v>3</v>
      </c>
      <c r="F87">
        <v>28</v>
      </c>
      <c r="G87">
        <v>6397</v>
      </c>
      <c r="H87">
        <v>58</v>
      </c>
      <c r="I87">
        <v>55</v>
      </c>
      <c r="J87">
        <v>60</v>
      </c>
      <c r="K87" t="s">
        <v>13</v>
      </c>
      <c r="L87">
        <v>0</v>
      </c>
    </row>
    <row r="88" spans="1:12" x14ac:dyDescent="0.3">
      <c r="A88">
        <v>87</v>
      </c>
      <c r="B88" t="s">
        <v>12</v>
      </c>
      <c r="C88">
        <v>38</v>
      </c>
      <c r="D88">
        <v>12</v>
      </c>
      <c r="E88">
        <v>3</v>
      </c>
      <c r="F88">
        <v>16</v>
      </c>
      <c r="G88">
        <v>5567</v>
      </c>
      <c r="H88">
        <v>78</v>
      </c>
      <c r="I88">
        <v>75</v>
      </c>
      <c r="J88">
        <v>85</v>
      </c>
      <c r="K88" t="s">
        <v>13</v>
      </c>
      <c r="L88">
        <v>0</v>
      </c>
    </row>
    <row r="89" spans="1:12" x14ac:dyDescent="0.3">
      <c r="A89">
        <v>88</v>
      </c>
      <c r="B89" t="s">
        <v>16</v>
      </c>
      <c r="C89">
        <v>51</v>
      </c>
      <c r="D89">
        <v>29</v>
      </c>
      <c r="E89">
        <v>3</v>
      </c>
      <c r="F89">
        <v>14</v>
      </c>
      <c r="G89">
        <v>8183</v>
      </c>
      <c r="H89">
        <v>60</v>
      </c>
      <c r="I89">
        <v>57</v>
      </c>
      <c r="J89">
        <v>62</v>
      </c>
      <c r="K89" t="s">
        <v>13</v>
      </c>
      <c r="L89">
        <v>1</v>
      </c>
    </row>
    <row r="90" spans="1:12" x14ac:dyDescent="0.3">
      <c r="A90">
        <v>89</v>
      </c>
      <c r="B90" t="s">
        <v>15</v>
      </c>
      <c r="C90">
        <v>56</v>
      </c>
      <c r="D90">
        <v>8</v>
      </c>
      <c r="E90">
        <v>2</v>
      </c>
      <c r="F90">
        <v>19</v>
      </c>
      <c r="G90">
        <v>4765</v>
      </c>
      <c r="H90">
        <v>85</v>
      </c>
      <c r="I90">
        <v>81</v>
      </c>
      <c r="J90">
        <v>83</v>
      </c>
      <c r="K90" t="s">
        <v>14</v>
      </c>
      <c r="L90">
        <v>0</v>
      </c>
    </row>
    <row r="91" spans="1:12" x14ac:dyDescent="0.3">
      <c r="A91">
        <v>90</v>
      </c>
      <c r="B91" t="s">
        <v>12</v>
      </c>
      <c r="C91">
        <v>39</v>
      </c>
      <c r="D91">
        <v>1</v>
      </c>
      <c r="E91">
        <v>3</v>
      </c>
      <c r="F91">
        <v>16</v>
      </c>
      <c r="G91">
        <v>4331</v>
      </c>
      <c r="H91">
        <v>65</v>
      </c>
      <c r="I91">
        <v>61</v>
      </c>
      <c r="J91">
        <v>67</v>
      </c>
      <c r="K91" t="s">
        <v>14</v>
      </c>
      <c r="L91">
        <v>1</v>
      </c>
    </row>
    <row r="92" spans="1:12" x14ac:dyDescent="0.3">
      <c r="A92">
        <v>91</v>
      </c>
      <c r="B92" t="s">
        <v>12</v>
      </c>
      <c r="C92">
        <v>39</v>
      </c>
      <c r="D92">
        <v>6</v>
      </c>
      <c r="E92">
        <v>1</v>
      </c>
      <c r="F92">
        <v>19</v>
      </c>
      <c r="G92">
        <v>3459</v>
      </c>
      <c r="H92">
        <v>59</v>
      </c>
      <c r="I92">
        <v>58</v>
      </c>
      <c r="J92">
        <v>64</v>
      </c>
      <c r="K92" t="s">
        <v>13</v>
      </c>
      <c r="L92">
        <v>0</v>
      </c>
    </row>
    <row r="93" spans="1:12" x14ac:dyDescent="0.3">
      <c r="A93">
        <v>92</v>
      </c>
      <c r="B93" t="s">
        <v>16</v>
      </c>
      <c r="C93">
        <v>35</v>
      </c>
      <c r="D93">
        <v>1</v>
      </c>
      <c r="E93">
        <v>2</v>
      </c>
      <c r="F93">
        <v>11</v>
      </c>
      <c r="G93">
        <v>3422</v>
      </c>
      <c r="H93">
        <v>60</v>
      </c>
      <c r="I93">
        <v>55</v>
      </c>
      <c r="J93">
        <v>60</v>
      </c>
      <c r="K93" t="s">
        <v>13</v>
      </c>
      <c r="L93">
        <v>0</v>
      </c>
    </row>
    <row r="94" spans="1:12" x14ac:dyDescent="0.3">
      <c r="A94">
        <v>93</v>
      </c>
      <c r="B94" t="s">
        <v>16</v>
      </c>
      <c r="C94">
        <v>56</v>
      </c>
      <c r="D94">
        <v>16</v>
      </c>
      <c r="E94">
        <v>1</v>
      </c>
      <c r="F94">
        <v>8</v>
      </c>
      <c r="G94">
        <v>5355</v>
      </c>
      <c r="H94">
        <v>80</v>
      </c>
      <c r="I94">
        <v>77</v>
      </c>
      <c r="J94">
        <v>81</v>
      </c>
      <c r="K94" t="s">
        <v>14</v>
      </c>
      <c r="L94">
        <v>1</v>
      </c>
    </row>
    <row r="95" spans="1:12" x14ac:dyDescent="0.3">
      <c r="A95">
        <v>94</v>
      </c>
      <c r="B95" t="s">
        <v>15</v>
      </c>
      <c r="C95">
        <v>38</v>
      </c>
      <c r="D95">
        <v>1</v>
      </c>
      <c r="E95">
        <v>1</v>
      </c>
      <c r="F95">
        <v>28</v>
      </c>
      <c r="G95">
        <v>2586</v>
      </c>
      <c r="H95">
        <v>87</v>
      </c>
      <c r="I95">
        <v>83</v>
      </c>
      <c r="J95">
        <v>89</v>
      </c>
      <c r="K95" t="s">
        <v>13</v>
      </c>
      <c r="L95">
        <v>0</v>
      </c>
    </row>
    <row r="96" spans="1:12" x14ac:dyDescent="0.3">
      <c r="A96">
        <v>95</v>
      </c>
      <c r="B96" t="s">
        <v>16</v>
      </c>
      <c r="C96">
        <v>36</v>
      </c>
      <c r="D96">
        <v>9</v>
      </c>
      <c r="E96">
        <v>1</v>
      </c>
      <c r="F96">
        <v>28</v>
      </c>
      <c r="G96">
        <v>4412</v>
      </c>
      <c r="H96">
        <v>65</v>
      </c>
      <c r="I96">
        <v>58</v>
      </c>
      <c r="J96">
        <v>66</v>
      </c>
      <c r="K96" t="s">
        <v>14</v>
      </c>
      <c r="L96">
        <v>1</v>
      </c>
    </row>
    <row r="97" spans="1:12" x14ac:dyDescent="0.3">
      <c r="A97">
        <v>96</v>
      </c>
      <c r="B97" t="s">
        <v>12</v>
      </c>
      <c r="C97">
        <v>28</v>
      </c>
      <c r="D97">
        <v>3</v>
      </c>
      <c r="E97">
        <v>3</v>
      </c>
      <c r="F97">
        <v>19</v>
      </c>
      <c r="G97">
        <v>3965</v>
      </c>
      <c r="H97">
        <v>60</v>
      </c>
      <c r="I97">
        <v>59</v>
      </c>
      <c r="J97">
        <v>62</v>
      </c>
      <c r="K97" t="s">
        <v>14</v>
      </c>
      <c r="L97">
        <v>1</v>
      </c>
    </row>
    <row r="98" spans="1:12" x14ac:dyDescent="0.3">
      <c r="A98">
        <v>97</v>
      </c>
      <c r="B98" t="s">
        <v>16</v>
      </c>
      <c r="C98">
        <v>55</v>
      </c>
      <c r="D98">
        <v>18</v>
      </c>
      <c r="E98">
        <v>2</v>
      </c>
      <c r="F98">
        <v>21</v>
      </c>
      <c r="G98">
        <v>6514</v>
      </c>
      <c r="H98">
        <v>72</v>
      </c>
      <c r="I98">
        <v>68</v>
      </c>
      <c r="J98">
        <v>75</v>
      </c>
      <c r="K98" t="s">
        <v>13</v>
      </c>
      <c r="L98">
        <v>0</v>
      </c>
    </row>
    <row r="99" spans="1:12" x14ac:dyDescent="0.3">
      <c r="A99">
        <v>98</v>
      </c>
      <c r="B99" t="s">
        <v>12</v>
      </c>
      <c r="C99">
        <v>51</v>
      </c>
      <c r="D99">
        <v>12</v>
      </c>
      <c r="E99">
        <v>2</v>
      </c>
      <c r="F99">
        <v>28</v>
      </c>
      <c r="G99">
        <v>5478</v>
      </c>
      <c r="H99">
        <v>82</v>
      </c>
      <c r="I99">
        <v>78</v>
      </c>
      <c r="J99">
        <v>81</v>
      </c>
      <c r="K99" t="s">
        <v>14</v>
      </c>
      <c r="L99">
        <v>1</v>
      </c>
    </row>
    <row r="100" spans="1:12" x14ac:dyDescent="0.3">
      <c r="A100">
        <v>99</v>
      </c>
      <c r="B100" t="s">
        <v>16</v>
      </c>
      <c r="C100">
        <v>27</v>
      </c>
      <c r="D100">
        <v>0</v>
      </c>
      <c r="E100">
        <v>2</v>
      </c>
      <c r="F100">
        <v>8</v>
      </c>
      <c r="G100">
        <v>3616</v>
      </c>
      <c r="H100">
        <v>64</v>
      </c>
      <c r="I100">
        <v>58</v>
      </c>
      <c r="J100">
        <v>68</v>
      </c>
      <c r="K100" t="s">
        <v>14</v>
      </c>
      <c r="L100">
        <v>0</v>
      </c>
    </row>
    <row r="101" spans="1:12" x14ac:dyDescent="0.3">
      <c r="A101">
        <v>100</v>
      </c>
      <c r="B101" t="s">
        <v>15</v>
      </c>
      <c r="C101">
        <v>48</v>
      </c>
      <c r="D101">
        <v>11</v>
      </c>
      <c r="E101">
        <v>3</v>
      </c>
      <c r="F101">
        <v>29</v>
      </c>
      <c r="G101">
        <v>5520</v>
      </c>
      <c r="H101">
        <v>79</v>
      </c>
      <c r="I101">
        <v>77</v>
      </c>
      <c r="J101">
        <v>79</v>
      </c>
      <c r="K101" t="s">
        <v>13</v>
      </c>
      <c r="L101">
        <v>1</v>
      </c>
    </row>
    <row r="102" spans="1:12" x14ac:dyDescent="0.3">
      <c r="A102">
        <v>101</v>
      </c>
      <c r="B102" t="s">
        <v>16</v>
      </c>
      <c r="C102">
        <v>52</v>
      </c>
      <c r="D102">
        <v>7</v>
      </c>
      <c r="E102">
        <v>1</v>
      </c>
      <c r="F102">
        <v>16</v>
      </c>
      <c r="G102">
        <v>4356</v>
      </c>
      <c r="H102">
        <v>76</v>
      </c>
      <c r="I102">
        <v>69</v>
      </c>
      <c r="J102">
        <v>76</v>
      </c>
      <c r="K102" t="s">
        <v>13</v>
      </c>
      <c r="L102">
        <v>0</v>
      </c>
    </row>
    <row r="103" spans="1:12" x14ac:dyDescent="0.3">
      <c r="A103">
        <v>102</v>
      </c>
      <c r="B103" t="s">
        <v>16</v>
      </c>
      <c r="C103">
        <v>39</v>
      </c>
      <c r="D103">
        <v>0</v>
      </c>
      <c r="E103">
        <v>1</v>
      </c>
      <c r="F103">
        <v>13</v>
      </c>
      <c r="G103">
        <v>3169</v>
      </c>
      <c r="H103">
        <v>60</v>
      </c>
      <c r="I103">
        <v>55</v>
      </c>
      <c r="J103">
        <v>58</v>
      </c>
      <c r="K103" t="s">
        <v>13</v>
      </c>
      <c r="L103">
        <v>0</v>
      </c>
    </row>
    <row r="104" spans="1:12" x14ac:dyDescent="0.3">
      <c r="A104">
        <v>103</v>
      </c>
      <c r="B104" t="s">
        <v>16</v>
      </c>
      <c r="C104">
        <v>47</v>
      </c>
      <c r="D104">
        <v>2</v>
      </c>
      <c r="E104">
        <v>1</v>
      </c>
      <c r="F104">
        <v>28</v>
      </c>
      <c r="G104">
        <v>3374</v>
      </c>
      <c r="H104">
        <v>82</v>
      </c>
      <c r="I104">
        <v>79</v>
      </c>
      <c r="J104">
        <v>86</v>
      </c>
      <c r="K104" t="s">
        <v>14</v>
      </c>
      <c r="L104">
        <v>1</v>
      </c>
    </row>
    <row r="105" spans="1:12" x14ac:dyDescent="0.3">
      <c r="A105">
        <v>104</v>
      </c>
      <c r="B105" t="s">
        <v>12</v>
      </c>
      <c r="C105">
        <v>41</v>
      </c>
      <c r="D105">
        <v>10</v>
      </c>
      <c r="E105">
        <v>2</v>
      </c>
      <c r="F105">
        <v>24</v>
      </c>
      <c r="G105">
        <v>4612</v>
      </c>
      <c r="H105">
        <v>58</v>
      </c>
      <c r="I105">
        <v>58</v>
      </c>
      <c r="J105">
        <v>60</v>
      </c>
      <c r="K105" t="s">
        <v>14</v>
      </c>
      <c r="L105">
        <v>0</v>
      </c>
    </row>
    <row r="106" spans="1:12" x14ac:dyDescent="0.3">
      <c r="A106">
        <v>105</v>
      </c>
      <c r="B106" t="s">
        <v>12</v>
      </c>
      <c r="C106">
        <v>53</v>
      </c>
      <c r="D106">
        <v>28</v>
      </c>
      <c r="E106">
        <v>2</v>
      </c>
      <c r="F106">
        <v>13</v>
      </c>
      <c r="G106">
        <v>8002</v>
      </c>
      <c r="H106">
        <v>66</v>
      </c>
      <c r="I106">
        <v>62</v>
      </c>
      <c r="J106">
        <v>67</v>
      </c>
      <c r="K106" t="s">
        <v>14</v>
      </c>
      <c r="L106">
        <v>0</v>
      </c>
    </row>
    <row r="107" spans="1:12" x14ac:dyDescent="0.3">
      <c r="A107">
        <v>106</v>
      </c>
      <c r="B107" t="s">
        <v>16</v>
      </c>
      <c r="C107">
        <v>41</v>
      </c>
      <c r="D107">
        <v>1</v>
      </c>
      <c r="E107">
        <v>1</v>
      </c>
      <c r="F107">
        <v>17</v>
      </c>
      <c r="G107">
        <v>2928</v>
      </c>
      <c r="H107">
        <v>72</v>
      </c>
      <c r="I107">
        <v>68</v>
      </c>
      <c r="J107">
        <v>71</v>
      </c>
      <c r="K107" t="s">
        <v>14</v>
      </c>
      <c r="L107">
        <v>1</v>
      </c>
    </row>
    <row r="108" spans="1:12" x14ac:dyDescent="0.3">
      <c r="A108">
        <v>107</v>
      </c>
      <c r="B108" t="s">
        <v>15</v>
      </c>
      <c r="C108">
        <v>29</v>
      </c>
      <c r="D108">
        <v>0</v>
      </c>
      <c r="E108">
        <v>2</v>
      </c>
      <c r="F108">
        <v>28</v>
      </c>
      <c r="G108">
        <v>3043</v>
      </c>
      <c r="H108">
        <v>74</v>
      </c>
      <c r="I108">
        <v>69</v>
      </c>
      <c r="J108">
        <v>78</v>
      </c>
      <c r="K108" t="s">
        <v>14</v>
      </c>
      <c r="L108">
        <v>1</v>
      </c>
    </row>
    <row r="109" spans="1:12" x14ac:dyDescent="0.3">
      <c r="A109">
        <v>108</v>
      </c>
      <c r="B109" t="s">
        <v>12</v>
      </c>
      <c r="C109">
        <v>24</v>
      </c>
      <c r="D109">
        <v>1</v>
      </c>
      <c r="E109">
        <v>1</v>
      </c>
      <c r="F109">
        <v>19</v>
      </c>
      <c r="G109">
        <v>2917</v>
      </c>
      <c r="H109">
        <v>82</v>
      </c>
      <c r="I109">
        <v>80</v>
      </c>
      <c r="J109">
        <v>87</v>
      </c>
      <c r="K109" t="s">
        <v>13</v>
      </c>
      <c r="L109">
        <v>0</v>
      </c>
    </row>
    <row r="110" spans="1:12" x14ac:dyDescent="0.3">
      <c r="A110">
        <v>109</v>
      </c>
      <c r="B110" t="s">
        <v>16</v>
      </c>
      <c r="C110">
        <v>42</v>
      </c>
      <c r="D110">
        <v>5</v>
      </c>
      <c r="E110">
        <v>2</v>
      </c>
      <c r="F110">
        <v>19</v>
      </c>
      <c r="G110">
        <v>4790</v>
      </c>
      <c r="H110">
        <v>63</v>
      </c>
      <c r="I110">
        <v>61</v>
      </c>
      <c r="J110">
        <v>65</v>
      </c>
      <c r="K110" t="s">
        <v>14</v>
      </c>
      <c r="L110">
        <v>0</v>
      </c>
    </row>
    <row r="111" spans="1:12" x14ac:dyDescent="0.3">
      <c r="A111">
        <v>110</v>
      </c>
      <c r="B111" t="s">
        <v>12</v>
      </c>
      <c r="C111">
        <v>47</v>
      </c>
      <c r="D111">
        <v>9</v>
      </c>
      <c r="E111">
        <v>3</v>
      </c>
      <c r="F111">
        <v>15</v>
      </c>
      <c r="G111">
        <v>5331</v>
      </c>
      <c r="H111">
        <v>68</v>
      </c>
      <c r="I111">
        <v>62</v>
      </c>
      <c r="J111">
        <v>71</v>
      </c>
      <c r="K111" t="s">
        <v>13</v>
      </c>
      <c r="L111">
        <v>0</v>
      </c>
    </row>
    <row r="112" spans="1:12" x14ac:dyDescent="0.3">
      <c r="A112">
        <v>111</v>
      </c>
      <c r="B112" t="s">
        <v>12</v>
      </c>
      <c r="C112">
        <v>44</v>
      </c>
      <c r="D112">
        <v>11</v>
      </c>
      <c r="E112">
        <v>3</v>
      </c>
      <c r="F112">
        <v>25</v>
      </c>
      <c r="G112">
        <v>5269</v>
      </c>
      <c r="H112">
        <v>70</v>
      </c>
      <c r="I112">
        <v>67</v>
      </c>
      <c r="J112">
        <v>70</v>
      </c>
      <c r="K112" t="s">
        <v>13</v>
      </c>
      <c r="L112">
        <v>0</v>
      </c>
    </row>
    <row r="113" spans="1:12" x14ac:dyDescent="0.3">
      <c r="A113">
        <v>112</v>
      </c>
      <c r="B113" t="s">
        <v>15</v>
      </c>
      <c r="C113">
        <v>26</v>
      </c>
      <c r="D113">
        <v>1</v>
      </c>
      <c r="E113">
        <v>3</v>
      </c>
      <c r="F113">
        <v>20</v>
      </c>
      <c r="G113">
        <v>4130</v>
      </c>
      <c r="H113">
        <v>76</v>
      </c>
      <c r="I113">
        <v>75</v>
      </c>
      <c r="J113">
        <v>81</v>
      </c>
      <c r="K113" t="s">
        <v>14</v>
      </c>
      <c r="L113">
        <v>1</v>
      </c>
    </row>
    <row r="114" spans="1:12" x14ac:dyDescent="0.3">
      <c r="A114">
        <v>113</v>
      </c>
      <c r="B114" t="s">
        <v>15</v>
      </c>
      <c r="C114">
        <v>50</v>
      </c>
      <c r="D114">
        <v>20</v>
      </c>
      <c r="E114">
        <v>1</v>
      </c>
      <c r="F114">
        <v>30</v>
      </c>
      <c r="G114">
        <v>5799</v>
      </c>
      <c r="H114">
        <v>62</v>
      </c>
      <c r="I114">
        <v>59</v>
      </c>
      <c r="J114">
        <v>64</v>
      </c>
      <c r="K114" t="s">
        <v>14</v>
      </c>
      <c r="L114">
        <v>1</v>
      </c>
    </row>
    <row r="115" spans="1:12" x14ac:dyDescent="0.3">
      <c r="A115">
        <v>114</v>
      </c>
      <c r="B115" t="s">
        <v>12</v>
      </c>
      <c r="C115">
        <v>45</v>
      </c>
      <c r="D115">
        <v>9</v>
      </c>
      <c r="E115">
        <v>1</v>
      </c>
      <c r="F115">
        <v>25</v>
      </c>
      <c r="G115">
        <v>4890</v>
      </c>
      <c r="H115">
        <v>64</v>
      </c>
      <c r="I115">
        <v>57</v>
      </c>
      <c r="J115">
        <v>65</v>
      </c>
      <c r="K115" t="s">
        <v>13</v>
      </c>
      <c r="L115">
        <v>1</v>
      </c>
    </row>
    <row r="116" spans="1:12" x14ac:dyDescent="0.3">
      <c r="A116">
        <v>115</v>
      </c>
      <c r="B116" t="s">
        <v>15</v>
      </c>
      <c r="C116">
        <v>52</v>
      </c>
      <c r="D116">
        <v>16</v>
      </c>
      <c r="E116">
        <v>1</v>
      </c>
      <c r="F116">
        <v>6</v>
      </c>
      <c r="G116">
        <v>4826</v>
      </c>
      <c r="H116">
        <v>64</v>
      </c>
      <c r="I116">
        <v>66</v>
      </c>
      <c r="J116">
        <v>67</v>
      </c>
      <c r="K116" t="s">
        <v>14</v>
      </c>
      <c r="L116">
        <v>0</v>
      </c>
    </row>
    <row r="117" spans="1:12" x14ac:dyDescent="0.3">
      <c r="A117">
        <v>116</v>
      </c>
      <c r="B117" t="s">
        <v>15</v>
      </c>
      <c r="C117">
        <v>55</v>
      </c>
      <c r="D117">
        <v>33</v>
      </c>
      <c r="E117">
        <v>2</v>
      </c>
      <c r="F117">
        <v>10</v>
      </c>
      <c r="G117">
        <v>8022</v>
      </c>
      <c r="H117">
        <v>78</v>
      </c>
      <c r="I117">
        <v>76</v>
      </c>
      <c r="J117">
        <v>86</v>
      </c>
      <c r="K117" t="s">
        <v>14</v>
      </c>
      <c r="L117">
        <v>1</v>
      </c>
    </row>
    <row r="118" spans="1:12" x14ac:dyDescent="0.3">
      <c r="A118">
        <v>117</v>
      </c>
      <c r="B118" t="s">
        <v>15</v>
      </c>
      <c r="C118">
        <v>28</v>
      </c>
      <c r="D118">
        <v>4</v>
      </c>
      <c r="E118">
        <v>3</v>
      </c>
      <c r="F118">
        <v>17</v>
      </c>
      <c r="G118">
        <v>3640</v>
      </c>
      <c r="H118">
        <v>66</v>
      </c>
      <c r="I118">
        <v>64</v>
      </c>
      <c r="J118">
        <v>70</v>
      </c>
      <c r="K118" t="s">
        <v>14</v>
      </c>
      <c r="L118">
        <v>1</v>
      </c>
    </row>
    <row r="119" spans="1:12" x14ac:dyDescent="0.3">
      <c r="A119">
        <v>118</v>
      </c>
      <c r="B119" t="s">
        <v>16</v>
      </c>
      <c r="C119">
        <v>27</v>
      </c>
      <c r="D119">
        <v>2</v>
      </c>
      <c r="E119">
        <v>2</v>
      </c>
      <c r="F119">
        <v>17</v>
      </c>
      <c r="G119">
        <v>3989</v>
      </c>
      <c r="H119">
        <v>64</v>
      </c>
      <c r="I119">
        <v>60</v>
      </c>
      <c r="J119">
        <v>67</v>
      </c>
      <c r="K119" t="s">
        <v>14</v>
      </c>
      <c r="L119">
        <v>1</v>
      </c>
    </row>
    <row r="120" spans="1:12" x14ac:dyDescent="0.3">
      <c r="A120">
        <v>119</v>
      </c>
      <c r="B120" t="s">
        <v>15</v>
      </c>
      <c r="C120">
        <v>41</v>
      </c>
      <c r="D120">
        <v>5</v>
      </c>
      <c r="E120">
        <v>1</v>
      </c>
      <c r="F120">
        <v>15</v>
      </c>
      <c r="G120">
        <v>2865</v>
      </c>
      <c r="H120">
        <v>64</v>
      </c>
      <c r="I120">
        <v>59</v>
      </c>
      <c r="J120">
        <v>64</v>
      </c>
      <c r="K120" t="s">
        <v>13</v>
      </c>
      <c r="L120">
        <v>0</v>
      </c>
    </row>
    <row r="121" spans="1:12" x14ac:dyDescent="0.3">
      <c r="A121">
        <v>120</v>
      </c>
      <c r="B121" t="s">
        <v>15</v>
      </c>
      <c r="C121">
        <v>56</v>
      </c>
      <c r="D121">
        <v>33</v>
      </c>
      <c r="E121">
        <v>1</v>
      </c>
      <c r="F121">
        <v>26</v>
      </c>
      <c r="G121">
        <v>8619</v>
      </c>
      <c r="H121">
        <v>64</v>
      </c>
      <c r="I121">
        <v>64</v>
      </c>
      <c r="J121">
        <v>67</v>
      </c>
      <c r="K121" t="s">
        <v>13</v>
      </c>
      <c r="L121">
        <v>0</v>
      </c>
    </row>
    <row r="122" spans="1:12" x14ac:dyDescent="0.3">
      <c r="A122">
        <v>121</v>
      </c>
      <c r="B122" t="s">
        <v>16</v>
      </c>
      <c r="C122">
        <v>24</v>
      </c>
      <c r="D122">
        <v>1</v>
      </c>
      <c r="E122">
        <v>1</v>
      </c>
      <c r="F122">
        <v>26</v>
      </c>
      <c r="G122">
        <v>3344</v>
      </c>
      <c r="H122">
        <v>86</v>
      </c>
      <c r="I122">
        <v>83</v>
      </c>
      <c r="J122">
        <v>87</v>
      </c>
      <c r="K122" t="s">
        <v>13</v>
      </c>
      <c r="L122">
        <v>1</v>
      </c>
    </row>
    <row r="123" spans="1:12" x14ac:dyDescent="0.3">
      <c r="A123">
        <v>122</v>
      </c>
      <c r="B123" t="s">
        <v>16</v>
      </c>
      <c r="C123">
        <v>52</v>
      </c>
      <c r="D123">
        <v>28</v>
      </c>
      <c r="E123">
        <v>1</v>
      </c>
      <c r="F123">
        <v>16</v>
      </c>
      <c r="G123">
        <v>8716</v>
      </c>
      <c r="H123">
        <v>84</v>
      </c>
      <c r="I123">
        <v>79</v>
      </c>
      <c r="J123">
        <v>88</v>
      </c>
      <c r="K123" t="s">
        <v>14</v>
      </c>
      <c r="L123">
        <v>0</v>
      </c>
    </row>
    <row r="124" spans="1:12" x14ac:dyDescent="0.3">
      <c r="A124">
        <v>123</v>
      </c>
      <c r="B124" t="s">
        <v>15</v>
      </c>
      <c r="C124">
        <v>34</v>
      </c>
      <c r="D124">
        <v>12</v>
      </c>
      <c r="E124">
        <v>2</v>
      </c>
      <c r="F124">
        <v>9</v>
      </c>
      <c r="G124">
        <v>4710</v>
      </c>
      <c r="H124">
        <v>68</v>
      </c>
      <c r="I124">
        <v>61</v>
      </c>
      <c r="J124">
        <v>70</v>
      </c>
      <c r="K124" t="s">
        <v>13</v>
      </c>
      <c r="L124">
        <v>1</v>
      </c>
    </row>
    <row r="125" spans="1:12" x14ac:dyDescent="0.3">
      <c r="A125">
        <v>124</v>
      </c>
      <c r="B125" t="s">
        <v>12</v>
      </c>
      <c r="C125">
        <v>32</v>
      </c>
      <c r="D125">
        <v>4</v>
      </c>
      <c r="E125">
        <v>2</v>
      </c>
      <c r="F125">
        <v>21</v>
      </c>
      <c r="G125">
        <v>3844</v>
      </c>
      <c r="H125">
        <v>83</v>
      </c>
      <c r="I125">
        <v>83</v>
      </c>
      <c r="J125">
        <v>89</v>
      </c>
      <c r="K125" t="s">
        <v>14</v>
      </c>
      <c r="L125">
        <v>1</v>
      </c>
    </row>
    <row r="126" spans="1:12" x14ac:dyDescent="0.3">
      <c r="A126">
        <v>125</v>
      </c>
      <c r="B126" t="s">
        <v>12</v>
      </c>
      <c r="C126">
        <v>54</v>
      </c>
      <c r="D126">
        <v>23</v>
      </c>
      <c r="E126">
        <v>1</v>
      </c>
      <c r="F126">
        <v>17</v>
      </c>
      <c r="G126">
        <v>6169</v>
      </c>
      <c r="H126">
        <v>67</v>
      </c>
      <c r="I126">
        <v>61</v>
      </c>
      <c r="J126">
        <v>67</v>
      </c>
      <c r="K126" t="s">
        <v>13</v>
      </c>
      <c r="L126">
        <v>1</v>
      </c>
    </row>
    <row r="127" spans="1:12" x14ac:dyDescent="0.3">
      <c r="A127">
        <v>126</v>
      </c>
      <c r="B127" t="s">
        <v>16</v>
      </c>
      <c r="C127">
        <v>40</v>
      </c>
      <c r="D127">
        <v>15</v>
      </c>
      <c r="E127">
        <v>3</v>
      </c>
      <c r="F127">
        <v>9</v>
      </c>
      <c r="G127">
        <v>6468</v>
      </c>
      <c r="H127">
        <v>60</v>
      </c>
      <c r="I127">
        <v>60</v>
      </c>
      <c r="J127">
        <v>61</v>
      </c>
      <c r="K127" t="s">
        <v>13</v>
      </c>
      <c r="L127">
        <v>0</v>
      </c>
    </row>
    <row r="128" spans="1:12" x14ac:dyDescent="0.3">
      <c r="A128">
        <v>127</v>
      </c>
      <c r="B128" t="s">
        <v>15</v>
      </c>
      <c r="C128">
        <v>57</v>
      </c>
      <c r="D128">
        <v>33</v>
      </c>
      <c r="E128">
        <v>2</v>
      </c>
      <c r="F128">
        <v>8</v>
      </c>
      <c r="G128">
        <v>7358</v>
      </c>
      <c r="H128">
        <v>76</v>
      </c>
      <c r="I128">
        <v>70</v>
      </c>
      <c r="J128">
        <v>77</v>
      </c>
      <c r="K128" t="s">
        <v>14</v>
      </c>
      <c r="L128">
        <v>1</v>
      </c>
    </row>
    <row r="129" spans="1:12" x14ac:dyDescent="0.3">
      <c r="A129">
        <v>128</v>
      </c>
      <c r="B129" t="s">
        <v>16</v>
      </c>
      <c r="C129">
        <v>53</v>
      </c>
      <c r="D129">
        <v>1</v>
      </c>
      <c r="E129">
        <v>3</v>
      </c>
      <c r="F129">
        <v>21</v>
      </c>
      <c r="G129">
        <v>4668</v>
      </c>
      <c r="H129">
        <v>59</v>
      </c>
      <c r="I129">
        <v>55</v>
      </c>
      <c r="J129">
        <v>65</v>
      </c>
      <c r="K129" t="s">
        <v>13</v>
      </c>
      <c r="L129">
        <v>0</v>
      </c>
    </row>
    <row r="130" spans="1:12" x14ac:dyDescent="0.3">
      <c r="A130">
        <v>129</v>
      </c>
      <c r="B130" t="s">
        <v>16</v>
      </c>
      <c r="C130">
        <v>33</v>
      </c>
      <c r="D130">
        <v>10</v>
      </c>
      <c r="E130">
        <v>3</v>
      </c>
      <c r="F130">
        <v>7</v>
      </c>
      <c r="G130">
        <v>5595</v>
      </c>
      <c r="H130">
        <v>92</v>
      </c>
      <c r="I130">
        <v>87</v>
      </c>
      <c r="J130">
        <v>96</v>
      </c>
      <c r="K130" t="s">
        <v>13</v>
      </c>
      <c r="L130">
        <v>0</v>
      </c>
    </row>
    <row r="131" spans="1:12" x14ac:dyDescent="0.3">
      <c r="A131">
        <v>130</v>
      </c>
      <c r="B131" t="s">
        <v>15</v>
      </c>
      <c r="C131">
        <v>52</v>
      </c>
      <c r="D131">
        <v>1</v>
      </c>
      <c r="E131">
        <v>3</v>
      </c>
      <c r="F131">
        <v>17</v>
      </c>
      <c r="G131">
        <v>3346</v>
      </c>
      <c r="H131">
        <v>81</v>
      </c>
      <c r="I131">
        <v>77</v>
      </c>
      <c r="J131">
        <v>81</v>
      </c>
      <c r="K131" t="s">
        <v>13</v>
      </c>
      <c r="L131">
        <v>0</v>
      </c>
    </row>
    <row r="132" spans="1:12" x14ac:dyDescent="0.3">
      <c r="A132">
        <v>131</v>
      </c>
      <c r="B132" t="s">
        <v>16</v>
      </c>
      <c r="C132">
        <v>43</v>
      </c>
      <c r="D132">
        <v>4</v>
      </c>
      <c r="E132">
        <v>1</v>
      </c>
      <c r="F132">
        <v>16</v>
      </c>
      <c r="G132">
        <v>3872</v>
      </c>
      <c r="H132">
        <v>90</v>
      </c>
      <c r="I132">
        <v>85</v>
      </c>
      <c r="J132">
        <v>88</v>
      </c>
      <c r="K132" t="s">
        <v>13</v>
      </c>
      <c r="L132">
        <v>1</v>
      </c>
    </row>
    <row r="133" spans="1:12" x14ac:dyDescent="0.3">
      <c r="A133">
        <v>132</v>
      </c>
      <c r="B133" t="s">
        <v>12</v>
      </c>
      <c r="C133">
        <v>51</v>
      </c>
      <c r="D133">
        <v>1</v>
      </c>
      <c r="E133">
        <v>1</v>
      </c>
      <c r="F133">
        <v>11</v>
      </c>
      <c r="G133">
        <v>2897</v>
      </c>
      <c r="H133">
        <v>78</v>
      </c>
      <c r="I133">
        <v>74</v>
      </c>
      <c r="J133">
        <v>83</v>
      </c>
      <c r="K133" t="s">
        <v>14</v>
      </c>
      <c r="L133">
        <v>1</v>
      </c>
    </row>
    <row r="134" spans="1:12" x14ac:dyDescent="0.3">
      <c r="A134">
        <v>133</v>
      </c>
      <c r="B134" t="s">
        <v>12</v>
      </c>
      <c r="C134">
        <v>34</v>
      </c>
      <c r="D134">
        <v>4</v>
      </c>
      <c r="E134">
        <v>1</v>
      </c>
      <c r="F134">
        <v>29</v>
      </c>
      <c r="G134">
        <v>3355</v>
      </c>
      <c r="H134">
        <v>82</v>
      </c>
      <c r="I134">
        <v>78</v>
      </c>
      <c r="J134">
        <v>85</v>
      </c>
      <c r="K134" t="s">
        <v>14</v>
      </c>
      <c r="L134">
        <v>0</v>
      </c>
    </row>
    <row r="135" spans="1:12" x14ac:dyDescent="0.3">
      <c r="A135">
        <v>134</v>
      </c>
      <c r="B135" t="s">
        <v>16</v>
      </c>
      <c r="C135">
        <v>46</v>
      </c>
      <c r="D135">
        <v>10</v>
      </c>
      <c r="E135">
        <v>1</v>
      </c>
      <c r="F135">
        <v>20</v>
      </c>
      <c r="G135">
        <v>4969</v>
      </c>
      <c r="H135">
        <v>60</v>
      </c>
      <c r="I135">
        <v>60</v>
      </c>
      <c r="J135">
        <v>67</v>
      </c>
      <c r="K135" t="s">
        <v>14</v>
      </c>
      <c r="L135">
        <v>0</v>
      </c>
    </row>
    <row r="136" spans="1:12" x14ac:dyDescent="0.3">
      <c r="A136">
        <v>135</v>
      </c>
      <c r="B136" t="s">
        <v>12</v>
      </c>
      <c r="C136">
        <v>33</v>
      </c>
      <c r="D136">
        <v>8</v>
      </c>
      <c r="E136">
        <v>1</v>
      </c>
      <c r="F136">
        <v>15</v>
      </c>
      <c r="G136">
        <v>3732</v>
      </c>
      <c r="H136">
        <v>79</v>
      </c>
      <c r="I136">
        <v>74</v>
      </c>
      <c r="J136">
        <v>82</v>
      </c>
      <c r="K136" t="s">
        <v>14</v>
      </c>
      <c r="L136">
        <v>1</v>
      </c>
    </row>
    <row r="137" spans="1:12" x14ac:dyDescent="0.3">
      <c r="A137">
        <v>136</v>
      </c>
      <c r="B137" t="s">
        <v>16</v>
      </c>
      <c r="C137">
        <v>50</v>
      </c>
      <c r="D137">
        <v>11</v>
      </c>
      <c r="E137">
        <v>2</v>
      </c>
      <c r="F137">
        <v>6</v>
      </c>
      <c r="G137">
        <v>5922</v>
      </c>
      <c r="H137">
        <v>70</v>
      </c>
      <c r="I137">
        <v>72</v>
      </c>
      <c r="J137">
        <v>73</v>
      </c>
      <c r="K137" t="s">
        <v>14</v>
      </c>
      <c r="L137">
        <v>1</v>
      </c>
    </row>
    <row r="138" spans="1:12" x14ac:dyDescent="0.3">
      <c r="A138">
        <v>137</v>
      </c>
      <c r="B138" t="s">
        <v>16</v>
      </c>
      <c r="C138">
        <v>32</v>
      </c>
      <c r="D138">
        <v>0</v>
      </c>
      <c r="E138">
        <v>1</v>
      </c>
      <c r="F138">
        <v>24</v>
      </c>
      <c r="G138">
        <v>2989</v>
      </c>
      <c r="H138">
        <v>64</v>
      </c>
      <c r="I138">
        <v>59</v>
      </c>
      <c r="J138">
        <v>63</v>
      </c>
      <c r="K138" t="s">
        <v>14</v>
      </c>
      <c r="L138">
        <v>1</v>
      </c>
    </row>
    <row r="139" spans="1:12" x14ac:dyDescent="0.3">
      <c r="A139">
        <v>138</v>
      </c>
      <c r="B139" t="s">
        <v>16</v>
      </c>
      <c r="C139">
        <v>58</v>
      </c>
      <c r="D139">
        <v>2</v>
      </c>
      <c r="E139">
        <v>2</v>
      </c>
      <c r="F139">
        <v>9</v>
      </c>
      <c r="G139">
        <v>4485</v>
      </c>
      <c r="H139">
        <v>62</v>
      </c>
      <c r="I139">
        <v>59</v>
      </c>
      <c r="J139">
        <v>69</v>
      </c>
      <c r="K139" t="s">
        <v>14</v>
      </c>
      <c r="L139">
        <v>1</v>
      </c>
    </row>
    <row r="140" spans="1:12" x14ac:dyDescent="0.3">
      <c r="A140">
        <v>139</v>
      </c>
      <c r="B140" t="s">
        <v>16</v>
      </c>
      <c r="C140">
        <v>39</v>
      </c>
      <c r="D140">
        <v>7</v>
      </c>
      <c r="E140">
        <v>1</v>
      </c>
      <c r="F140">
        <v>5</v>
      </c>
      <c r="G140">
        <v>4268</v>
      </c>
      <c r="H140">
        <v>68</v>
      </c>
      <c r="I140">
        <v>62</v>
      </c>
      <c r="J140">
        <v>67</v>
      </c>
      <c r="K140" t="s">
        <v>14</v>
      </c>
      <c r="L140">
        <v>0</v>
      </c>
    </row>
    <row r="141" spans="1:12" x14ac:dyDescent="0.3">
      <c r="A141">
        <v>140</v>
      </c>
      <c r="B141" t="s">
        <v>15</v>
      </c>
      <c r="C141">
        <v>35</v>
      </c>
      <c r="D141">
        <v>9</v>
      </c>
      <c r="E141">
        <v>1</v>
      </c>
      <c r="F141">
        <v>27</v>
      </c>
      <c r="G141">
        <v>3188</v>
      </c>
      <c r="H141">
        <v>86</v>
      </c>
      <c r="I141">
        <v>83</v>
      </c>
      <c r="J141">
        <v>86</v>
      </c>
      <c r="K141" t="s">
        <v>14</v>
      </c>
      <c r="L141">
        <v>0</v>
      </c>
    </row>
    <row r="142" spans="1:12" x14ac:dyDescent="0.3">
      <c r="A142">
        <v>141</v>
      </c>
      <c r="B142" t="s">
        <v>16</v>
      </c>
      <c r="C142">
        <v>42</v>
      </c>
      <c r="D142">
        <v>11</v>
      </c>
      <c r="E142">
        <v>3</v>
      </c>
      <c r="F142">
        <v>7</v>
      </c>
      <c r="G142">
        <v>5837</v>
      </c>
      <c r="H142">
        <v>70</v>
      </c>
      <c r="I142">
        <v>66</v>
      </c>
      <c r="J142">
        <v>72</v>
      </c>
      <c r="K142" t="s">
        <v>13</v>
      </c>
      <c r="L142">
        <v>1</v>
      </c>
    </row>
    <row r="143" spans="1:12" x14ac:dyDescent="0.3">
      <c r="A143">
        <v>142</v>
      </c>
      <c r="B143" t="s">
        <v>15</v>
      </c>
      <c r="C143">
        <v>34</v>
      </c>
      <c r="D143">
        <v>12</v>
      </c>
      <c r="E143">
        <v>1</v>
      </c>
      <c r="F143">
        <v>12</v>
      </c>
      <c r="G143">
        <v>4144</v>
      </c>
      <c r="H143">
        <v>85</v>
      </c>
      <c r="I143">
        <v>78</v>
      </c>
      <c r="J143">
        <v>86</v>
      </c>
      <c r="K143" t="s">
        <v>13</v>
      </c>
      <c r="L143">
        <v>0</v>
      </c>
    </row>
    <row r="144" spans="1:12" x14ac:dyDescent="0.3">
      <c r="A144">
        <v>143</v>
      </c>
      <c r="B144" t="s">
        <v>16</v>
      </c>
      <c r="C144">
        <v>27</v>
      </c>
      <c r="D144">
        <v>0</v>
      </c>
      <c r="E144">
        <v>1</v>
      </c>
      <c r="F144">
        <v>17</v>
      </c>
      <c r="G144">
        <v>3267</v>
      </c>
      <c r="H144">
        <v>83</v>
      </c>
      <c r="I144">
        <v>81</v>
      </c>
      <c r="J144">
        <v>91</v>
      </c>
      <c r="K144" t="s">
        <v>13</v>
      </c>
      <c r="L144">
        <v>0</v>
      </c>
    </row>
    <row r="145" spans="1:12" x14ac:dyDescent="0.3">
      <c r="A145">
        <v>144</v>
      </c>
      <c r="B145" t="s">
        <v>16</v>
      </c>
      <c r="C145">
        <v>26</v>
      </c>
      <c r="D145">
        <v>3</v>
      </c>
      <c r="E145">
        <v>2</v>
      </c>
      <c r="F145">
        <v>26</v>
      </c>
      <c r="G145">
        <v>3792</v>
      </c>
      <c r="H145">
        <v>68</v>
      </c>
      <c r="I145">
        <v>63</v>
      </c>
      <c r="J145">
        <v>70</v>
      </c>
      <c r="K145" t="s">
        <v>13</v>
      </c>
      <c r="L145">
        <v>0</v>
      </c>
    </row>
    <row r="146" spans="1:12" x14ac:dyDescent="0.3">
      <c r="A146">
        <v>145</v>
      </c>
      <c r="B146" t="s">
        <v>12</v>
      </c>
      <c r="C146">
        <v>55</v>
      </c>
      <c r="D146">
        <v>9</v>
      </c>
      <c r="E146">
        <v>1</v>
      </c>
      <c r="F146">
        <v>10</v>
      </c>
      <c r="G146">
        <v>4356</v>
      </c>
      <c r="H146">
        <v>73</v>
      </c>
      <c r="I146">
        <v>73</v>
      </c>
      <c r="J146">
        <v>75</v>
      </c>
      <c r="K146" t="s">
        <v>13</v>
      </c>
      <c r="L146">
        <v>0</v>
      </c>
    </row>
    <row r="147" spans="1:12" x14ac:dyDescent="0.3">
      <c r="A147">
        <v>146</v>
      </c>
      <c r="B147" t="s">
        <v>15</v>
      </c>
      <c r="C147">
        <v>57</v>
      </c>
      <c r="D147">
        <v>17</v>
      </c>
      <c r="E147">
        <v>1</v>
      </c>
      <c r="F147">
        <v>25</v>
      </c>
      <c r="G147">
        <v>5159</v>
      </c>
      <c r="H147">
        <v>68</v>
      </c>
      <c r="I147">
        <v>64</v>
      </c>
      <c r="J147">
        <v>67</v>
      </c>
      <c r="K147" t="s">
        <v>14</v>
      </c>
      <c r="L147">
        <v>0</v>
      </c>
    </row>
    <row r="148" spans="1:12" x14ac:dyDescent="0.3">
      <c r="A148">
        <v>147</v>
      </c>
      <c r="B148" t="s">
        <v>12</v>
      </c>
      <c r="C148">
        <v>58</v>
      </c>
      <c r="D148">
        <v>2</v>
      </c>
      <c r="E148">
        <v>1</v>
      </c>
      <c r="F148">
        <v>7</v>
      </c>
      <c r="G148">
        <v>3245</v>
      </c>
      <c r="H148">
        <v>88</v>
      </c>
      <c r="I148">
        <v>81</v>
      </c>
      <c r="J148">
        <v>91</v>
      </c>
      <c r="K148" t="s">
        <v>13</v>
      </c>
      <c r="L148">
        <v>0</v>
      </c>
    </row>
    <row r="149" spans="1:12" x14ac:dyDescent="0.3">
      <c r="A149">
        <v>148</v>
      </c>
      <c r="B149" t="s">
        <v>15</v>
      </c>
      <c r="C149">
        <v>56</v>
      </c>
      <c r="D149">
        <v>18</v>
      </c>
      <c r="E149">
        <v>3</v>
      </c>
      <c r="F149">
        <v>14</v>
      </c>
      <c r="G149">
        <v>6694</v>
      </c>
      <c r="H149">
        <v>58</v>
      </c>
      <c r="I149">
        <v>59</v>
      </c>
      <c r="J149">
        <v>60</v>
      </c>
      <c r="K149" t="s">
        <v>14</v>
      </c>
      <c r="L149">
        <v>1</v>
      </c>
    </row>
    <row r="150" spans="1:12" x14ac:dyDescent="0.3">
      <c r="A150">
        <v>149</v>
      </c>
      <c r="B150" t="s">
        <v>12</v>
      </c>
      <c r="C150">
        <v>51</v>
      </c>
      <c r="D150">
        <v>6</v>
      </c>
      <c r="E150">
        <v>1</v>
      </c>
      <c r="F150">
        <v>24</v>
      </c>
      <c r="G150">
        <v>4080</v>
      </c>
      <c r="H150">
        <v>67</v>
      </c>
      <c r="I150">
        <v>63</v>
      </c>
      <c r="J150">
        <v>69</v>
      </c>
      <c r="K150" t="s">
        <v>13</v>
      </c>
      <c r="L150">
        <v>1</v>
      </c>
    </row>
    <row r="151" spans="1:12" x14ac:dyDescent="0.3">
      <c r="A151">
        <v>150</v>
      </c>
      <c r="B151" t="s">
        <v>12</v>
      </c>
      <c r="C151">
        <v>51</v>
      </c>
      <c r="D151">
        <v>3</v>
      </c>
      <c r="E151">
        <v>1</v>
      </c>
      <c r="F151">
        <v>19</v>
      </c>
      <c r="G151">
        <v>2999</v>
      </c>
      <c r="H151">
        <v>84</v>
      </c>
      <c r="I151">
        <v>79</v>
      </c>
      <c r="J151">
        <v>89</v>
      </c>
      <c r="K151" t="s">
        <v>13</v>
      </c>
      <c r="L1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4228-6AB5-4FCA-912B-AD14BFE79650}">
  <dimension ref="A1:I174"/>
  <sheetViews>
    <sheetView zoomScale="67" workbookViewId="0">
      <selection activeCell="V9" sqref="V9"/>
    </sheetView>
  </sheetViews>
  <sheetFormatPr defaultRowHeight="14.4" x14ac:dyDescent="0.3"/>
  <cols>
    <col min="1" max="1" width="19.109375" customWidth="1"/>
    <col min="2" max="2" width="21.21875" customWidth="1"/>
    <col min="3" max="3" width="19" customWidth="1"/>
    <col min="4" max="4" width="13.88671875" customWidth="1"/>
    <col min="5" max="5" width="12.109375" customWidth="1"/>
    <col min="6" max="6" width="17.109375" customWidth="1"/>
  </cols>
  <sheetData>
    <row r="1" spans="1:9" x14ac:dyDescent="0.3">
      <c r="A1" t="s">
        <v>88</v>
      </c>
    </row>
    <row r="2" spans="1:9" ht="15" thickBot="1" x14ac:dyDescent="0.35"/>
    <row r="3" spans="1:9" x14ac:dyDescent="0.3">
      <c r="A3" s="3" t="s">
        <v>89</v>
      </c>
      <c r="B3" s="3"/>
    </row>
    <row r="4" spans="1:9" x14ac:dyDescent="0.3">
      <c r="A4" t="s">
        <v>90</v>
      </c>
      <c r="B4">
        <v>0.91720765647857849</v>
      </c>
    </row>
    <row r="5" spans="1:9" x14ac:dyDescent="0.3">
      <c r="A5" t="s">
        <v>91</v>
      </c>
      <c r="B5">
        <v>0.84126988510292611</v>
      </c>
    </row>
    <row r="6" spans="1:9" x14ac:dyDescent="0.3">
      <c r="A6" t="s">
        <v>92</v>
      </c>
      <c r="B6">
        <v>0.84019738432659452</v>
      </c>
    </row>
    <row r="7" spans="1:9" x14ac:dyDescent="0.3">
      <c r="A7" t="s">
        <v>93</v>
      </c>
      <c r="B7">
        <v>639.21684285859385</v>
      </c>
    </row>
    <row r="8" spans="1:9" ht="15" thickBot="1" x14ac:dyDescent="0.35">
      <c r="A8" s="4" t="s">
        <v>94</v>
      </c>
      <c r="B8" s="4">
        <v>150</v>
      </c>
    </row>
    <row r="10" spans="1:9" ht="15" thickBot="1" x14ac:dyDescent="0.35">
      <c r="A10" t="s">
        <v>95</v>
      </c>
    </row>
    <row r="11" spans="1:9" x14ac:dyDescent="0.3">
      <c r="A11" s="5"/>
      <c r="B11" s="5" t="s">
        <v>100</v>
      </c>
      <c r="C11" s="5" t="s">
        <v>101</v>
      </c>
      <c r="D11" s="5" t="s">
        <v>102</v>
      </c>
      <c r="E11" s="5" t="s">
        <v>103</v>
      </c>
      <c r="F11" s="5" t="s">
        <v>104</v>
      </c>
    </row>
    <row r="12" spans="1:9" x14ac:dyDescent="0.3">
      <c r="A12" t="s">
        <v>96</v>
      </c>
      <c r="B12">
        <v>1</v>
      </c>
      <c r="C12">
        <v>320504511.47527212</v>
      </c>
      <c r="D12">
        <v>320504511.47527212</v>
      </c>
      <c r="E12">
        <v>784.4002574808718</v>
      </c>
      <c r="F12">
        <v>5.0333113587551144E-61</v>
      </c>
    </row>
    <row r="13" spans="1:9" x14ac:dyDescent="0.3">
      <c r="A13" t="s">
        <v>97</v>
      </c>
      <c r="B13">
        <v>148</v>
      </c>
      <c r="C13">
        <v>60472529.484728023</v>
      </c>
      <c r="D13">
        <v>408598.17219410825</v>
      </c>
    </row>
    <row r="14" spans="1:9" ht="15" thickBot="1" x14ac:dyDescent="0.35">
      <c r="A14" s="4" t="s">
        <v>98</v>
      </c>
      <c r="B14" s="4">
        <v>149</v>
      </c>
      <c r="C14" s="4">
        <v>380977040.96000016</v>
      </c>
      <c r="D14" s="4"/>
      <c r="E14" s="4"/>
      <c r="F14" s="4"/>
    </row>
    <row r="15" spans="1:9" ht="15" thickBot="1" x14ac:dyDescent="0.35"/>
    <row r="16" spans="1:9" x14ac:dyDescent="0.3">
      <c r="A16" s="5"/>
      <c r="B16" s="5" t="s">
        <v>105</v>
      </c>
      <c r="C16" s="5" t="s">
        <v>93</v>
      </c>
      <c r="D16" s="5" t="s">
        <v>106</v>
      </c>
      <c r="E16" s="5" t="s">
        <v>107</v>
      </c>
      <c r="F16" s="5" t="s">
        <v>108</v>
      </c>
      <c r="G16" s="5" t="s">
        <v>109</v>
      </c>
      <c r="H16" s="5" t="s">
        <v>110</v>
      </c>
      <c r="I16" s="5" t="s">
        <v>111</v>
      </c>
    </row>
    <row r="17" spans="1:9" x14ac:dyDescent="0.3">
      <c r="A17" t="s">
        <v>99</v>
      </c>
      <c r="B17">
        <v>3110.4921631488724</v>
      </c>
      <c r="C17">
        <v>82.292753402388882</v>
      </c>
      <c r="D17">
        <v>37.797886624833453</v>
      </c>
      <c r="E17">
        <v>6.360910963088989E-78</v>
      </c>
      <c r="F17">
        <v>2947.8716020890029</v>
      </c>
      <c r="G17">
        <v>3273.1127242087418</v>
      </c>
      <c r="H17">
        <v>2947.8716020890029</v>
      </c>
      <c r="I17">
        <v>3273.1127242087418</v>
      </c>
    </row>
    <row r="18" spans="1:9" ht="15" thickBot="1" x14ac:dyDescent="0.35">
      <c r="A18" s="4" t="s">
        <v>2</v>
      </c>
      <c r="B18" s="4">
        <v>158.63037123303806</v>
      </c>
      <c r="C18" s="4">
        <v>5.6639247768247305</v>
      </c>
      <c r="D18" s="4">
        <v>28.007146542996338</v>
      </c>
      <c r="E18" s="4">
        <v>5.0333113587551144E-61</v>
      </c>
      <c r="F18" s="4">
        <v>147.43776207941852</v>
      </c>
      <c r="G18" s="4">
        <v>169.8229803866576</v>
      </c>
      <c r="H18" s="4">
        <v>147.43776207941852</v>
      </c>
      <c r="I18" s="4">
        <v>169.8229803866576</v>
      </c>
    </row>
    <row r="22" spans="1:9" x14ac:dyDescent="0.3">
      <c r="A22" t="s">
        <v>112</v>
      </c>
    </row>
    <row r="23" spans="1:9" ht="15" thickBot="1" x14ac:dyDescent="0.35"/>
    <row r="24" spans="1:9" x14ac:dyDescent="0.3">
      <c r="A24" s="5" t="s">
        <v>113</v>
      </c>
      <c r="B24" s="5" t="s">
        <v>114</v>
      </c>
      <c r="C24" s="5" t="s">
        <v>115</v>
      </c>
    </row>
    <row r="25" spans="1:9" x14ac:dyDescent="0.3">
      <c r="A25">
        <v>1</v>
      </c>
      <c r="B25">
        <v>3110.4921631488724</v>
      </c>
      <c r="C25">
        <v>670.50783685112765</v>
      </c>
    </row>
    <row r="26" spans="1:9" x14ac:dyDescent="0.3">
      <c r="A26">
        <v>2</v>
      </c>
      <c r="B26">
        <v>3586.3832768479865</v>
      </c>
      <c r="C26">
        <v>428.61672315201349</v>
      </c>
    </row>
    <row r="27" spans="1:9" x14ac:dyDescent="0.3">
      <c r="A27">
        <v>3</v>
      </c>
      <c r="B27">
        <v>3110.4921631488724</v>
      </c>
      <c r="C27">
        <v>139.50783685112765</v>
      </c>
    </row>
    <row r="28" spans="1:9" x14ac:dyDescent="0.3">
      <c r="A28">
        <v>4</v>
      </c>
      <c r="B28">
        <v>6124.4692165765955</v>
      </c>
      <c r="C28">
        <v>192.5307834234045</v>
      </c>
    </row>
    <row r="29" spans="1:9" x14ac:dyDescent="0.3">
      <c r="A29">
        <v>5</v>
      </c>
      <c r="B29">
        <v>5965.8388453435573</v>
      </c>
      <c r="C29">
        <v>-1099.8388453435573</v>
      </c>
    </row>
    <row r="30" spans="1:9" x14ac:dyDescent="0.3">
      <c r="A30">
        <v>6</v>
      </c>
      <c r="B30">
        <v>3903.6440193140625</v>
      </c>
      <c r="C30">
        <v>-422.64401931406246</v>
      </c>
    </row>
    <row r="31" spans="1:9" x14ac:dyDescent="0.3">
      <c r="A31">
        <v>7</v>
      </c>
      <c r="B31">
        <v>4379.5351330131771</v>
      </c>
      <c r="C31">
        <v>1162.4648669868229</v>
      </c>
    </row>
    <row r="32" spans="1:9" x14ac:dyDescent="0.3">
      <c r="A32">
        <v>8</v>
      </c>
      <c r="B32">
        <v>6283.0995878096337</v>
      </c>
      <c r="C32">
        <v>-270.0995878096337</v>
      </c>
    </row>
    <row r="33" spans="1:3" x14ac:dyDescent="0.3">
      <c r="A33">
        <v>9</v>
      </c>
      <c r="B33">
        <v>5965.8388453435573</v>
      </c>
      <c r="C33">
        <v>-244.8388453435573</v>
      </c>
    </row>
    <row r="34" spans="1:3" x14ac:dyDescent="0.3">
      <c r="A34">
        <v>10</v>
      </c>
      <c r="B34">
        <v>6124.4692165765955</v>
      </c>
      <c r="C34">
        <v>-217.4692165765955</v>
      </c>
    </row>
    <row r="35" spans="1:3" x14ac:dyDescent="0.3">
      <c r="A35">
        <v>11</v>
      </c>
      <c r="B35">
        <v>3586.3832768479865</v>
      </c>
      <c r="C35">
        <v>-481.38327684798651</v>
      </c>
    </row>
    <row r="36" spans="1:3" x14ac:dyDescent="0.3">
      <c r="A36">
        <v>12</v>
      </c>
      <c r="B36">
        <v>5014.056617945329</v>
      </c>
      <c r="C36">
        <v>-523.05661794532898</v>
      </c>
    </row>
    <row r="37" spans="1:3" x14ac:dyDescent="0.3">
      <c r="A37">
        <v>13</v>
      </c>
      <c r="B37">
        <v>4220.9047617801389</v>
      </c>
      <c r="C37">
        <v>36.09523821986113</v>
      </c>
    </row>
    <row r="38" spans="1:3" x14ac:dyDescent="0.3">
      <c r="A38">
        <v>14</v>
      </c>
      <c r="B38">
        <v>7869.4033001400139</v>
      </c>
      <c r="C38">
        <v>278.59669985998607</v>
      </c>
    </row>
    <row r="39" spans="1:3" x14ac:dyDescent="0.3">
      <c r="A39">
        <v>15</v>
      </c>
      <c r="B39">
        <v>7552.1425576739384</v>
      </c>
      <c r="C39">
        <v>-817.14255767393843</v>
      </c>
    </row>
    <row r="40" spans="1:3" x14ac:dyDescent="0.3">
      <c r="A40">
        <v>16</v>
      </c>
      <c r="B40">
        <v>3269.1225343819106</v>
      </c>
      <c r="C40">
        <v>-951.12253438191055</v>
      </c>
    </row>
    <row r="41" spans="1:3" x14ac:dyDescent="0.3">
      <c r="A41">
        <v>17</v>
      </c>
      <c r="B41">
        <v>7076.2514439748238</v>
      </c>
      <c r="C41">
        <v>-154.25144397482381</v>
      </c>
    </row>
    <row r="42" spans="1:3" x14ac:dyDescent="0.3">
      <c r="A42">
        <v>18</v>
      </c>
      <c r="B42">
        <v>3110.4921631488724</v>
      </c>
      <c r="C42">
        <v>-542.49216314887235</v>
      </c>
    </row>
    <row r="43" spans="1:3" x14ac:dyDescent="0.3">
      <c r="A43">
        <v>19</v>
      </c>
      <c r="B43">
        <v>5331.3173604114054</v>
      </c>
      <c r="C43">
        <v>-621.31736041140539</v>
      </c>
    </row>
    <row r="44" spans="1:3" x14ac:dyDescent="0.3">
      <c r="A44">
        <v>20</v>
      </c>
      <c r="B44">
        <v>7869.4033001400139</v>
      </c>
      <c r="C44">
        <v>-768.40330014001393</v>
      </c>
    </row>
    <row r="45" spans="1:3" x14ac:dyDescent="0.3">
      <c r="A45">
        <v>21</v>
      </c>
      <c r="B45">
        <v>8028.0336713730521</v>
      </c>
      <c r="C45">
        <v>-1336.0336713730521</v>
      </c>
    </row>
    <row r="46" spans="1:3" x14ac:dyDescent="0.3">
      <c r="A46">
        <v>22</v>
      </c>
      <c r="B46">
        <v>4696.7958754792526</v>
      </c>
      <c r="C46">
        <v>-388.79587547925257</v>
      </c>
    </row>
    <row r="47" spans="1:3" x14ac:dyDescent="0.3">
      <c r="A47">
        <v>23</v>
      </c>
      <c r="B47">
        <v>3427.7529056149483</v>
      </c>
      <c r="C47">
        <v>-308.7529056149483</v>
      </c>
    </row>
    <row r="48" spans="1:3" x14ac:dyDescent="0.3">
      <c r="A48">
        <v>24</v>
      </c>
      <c r="B48">
        <v>5331.3173604114054</v>
      </c>
      <c r="C48">
        <v>-98.317360411405389</v>
      </c>
    </row>
    <row r="49" spans="1:3" x14ac:dyDescent="0.3">
      <c r="A49">
        <v>25</v>
      </c>
      <c r="B49">
        <v>3903.6440193140625</v>
      </c>
      <c r="C49">
        <v>-827.64401931406246</v>
      </c>
    </row>
    <row r="50" spans="1:3" x14ac:dyDescent="0.3">
      <c r="A50">
        <v>26</v>
      </c>
      <c r="B50">
        <v>6124.4692165765955</v>
      </c>
      <c r="C50">
        <v>538.5307834234045</v>
      </c>
    </row>
    <row r="51" spans="1:3" x14ac:dyDescent="0.3">
      <c r="A51">
        <v>27</v>
      </c>
      <c r="B51">
        <v>4696.7958754792526</v>
      </c>
      <c r="C51">
        <v>741.20412452074743</v>
      </c>
    </row>
    <row r="52" spans="1:3" x14ac:dyDescent="0.3">
      <c r="A52">
        <v>28</v>
      </c>
      <c r="B52">
        <v>3745.0136480810247</v>
      </c>
      <c r="C52">
        <v>-778.01364808102471</v>
      </c>
    </row>
    <row r="53" spans="1:3" x14ac:dyDescent="0.3">
      <c r="A53">
        <v>29</v>
      </c>
      <c r="B53">
        <v>5965.8388453435573</v>
      </c>
      <c r="C53">
        <v>-985.8388453435573</v>
      </c>
    </row>
    <row r="54" spans="1:3" x14ac:dyDescent="0.3">
      <c r="A54">
        <v>30</v>
      </c>
      <c r="B54">
        <v>5807.2084741105191</v>
      </c>
      <c r="C54">
        <v>-45.208474110519091</v>
      </c>
    </row>
    <row r="55" spans="1:3" x14ac:dyDescent="0.3">
      <c r="A55">
        <v>31</v>
      </c>
      <c r="B55">
        <v>7076.2514439748238</v>
      </c>
      <c r="C55">
        <v>411.74855602517619</v>
      </c>
    </row>
    <row r="56" spans="1:3" x14ac:dyDescent="0.3">
      <c r="A56">
        <v>32</v>
      </c>
      <c r="B56">
        <v>4855.4262467122908</v>
      </c>
      <c r="C56">
        <v>-634.42624671229078</v>
      </c>
    </row>
    <row r="57" spans="1:3" x14ac:dyDescent="0.3">
      <c r="A57">
        <v>33</v>
      </c>
      <c r="B57">
        <v>4855.4262467122908</v>
      </c>
      <c r="C57">
        <v>403.57375328770922</v>
      </c>
    </row>
    <row r="58" spans="1:3" x14ac:dyDescent="0.3">
      <c r="A58">
        <v>34</v>
      </c>
      <c r="B58">
        <v>4855.4262467122908</v>
      </c>
      <c r="C58">
        <v>808.57375328770922</v>
      </c>
    </row>
    <row r="59" spans="1:3" x14ac:dyDescent="0.3">
      <c r="A59">
        <v>35</v>
      </c>
      <c r="B59">
        <v>5014.056617945329</v>
      </c>
      <c r="C59">
        <v>392.94338205467102</v>
      </c>
    </row>
    <row r="60" spans="1:3" x14ac:dyDescent="0.3">
      <c r="A60">
        <v>36</v>
      </c>
      <c r="B60">
        <v>5014.056617945329</v>
      </c>
      <c r="C60">
        <v>877.94338205467102</v>
      </c>
    </row>
    <row r="61" spans="1:3" x14ac:dyDescent="0.3">
      <c r="A61">
        <v>37</v>
      </c>
      <c r="B61">
        <v>3110.4921631488724</v>
      </c>
      <c r="C61">
        <v>-853.49216314887235</v>
      </c>
    </row>
    <row r="62" spans="1:3" x14ac:dyDescent="0.3">
      <c r="A62">
        <v>38</v>
      </c>
      <c r="B62">
        <v>4696.7958754792526</v>
      </c>
      <c r="C62">
        <v>-170.79587547925257</v>
      </c>
    </row>
    <row r="63" spans="1:3" x14ac:dyDescent="0.3">
      <c r="A63">
        <v>39</v>
      </c>
      <c r="B63">
        <v>3110.4921631488724</v>
      </c>
      <c r="C63">
        <v>462.50783685112765</v>
      </c>
    </row>
    <row r="64" spans="1:3" x14ac:dyDescent="0.3">
      <c r="A64">
        <v>40</v>
      </c>
      <c r="B64">
        <v>3110.4921631488724</v>
      </c>
      <c r="C64">
        <v>83.507836851127649</v>
      </c>
    </row>
    <row r="65" spans="1:3" x14ac:dyDescent="0.3">
      <c r="A65">
        <v>41</v>
      </c>
      <c r="B65">
        <v>6283.0995878096337</v>
      </c>
      <c r="C65">
        <v>1761.9004121903663</v>
      </c>
    </row>
    <row r="66" spans="1:3" x14ac:dyDescent="0.3">
      <c r="A66">
        <v>42</v>
      </c>
      <c r="B66">
        <v>5648.5781028774818</v>
      </c>
      <c r="C66">
        <v>-3.5781028774817969</v>
      </c>
    </row>
    <row r="67" spans="1:3" x14ac:dyDescent="0.3">
      <c r="A67">
        <v>43</v>
      </c>
      <c r="B67">
        <v>3269.1225343819106</v>
      </c>
      <c r="C67">
        <v>-1330.1225343819106</v>
      </c>
    </row>
    <row r="68" spans="1:3" x14ac:dyDescent="0.3">
      <c r="A68">
        <v>44</v>
      </c>
      <c r="B68">
        <v>5172.6869891783672</v>
      </c>
      <c r="C68">
        <v>595.31301082163282</v>
      </c>
    </row>
    <row r="69" spans="1:3" x14ac:dyDescent="0.3">
      <c r="A69">
        <v>45</v>
      </c>
      <c r="B69">
        <v>5807.2084741105191</v>
      </c>
      <c r="C69">
        <v>1659.7915258894809</v>
      </c>
    </row>
    <row r="70" spans="1:3" x14ac:dyDescent="0.3">
      <c r="A70">
        <v>46</v>
      </c>
      <c r="B70">
        <v>6758.9907015087483</v>
      </c>
      <c r="C70">
        <v>-288.99070150874832</v>
      </c>
    </row>
    <row r="71" spans="1:3" x14ac:dyDescent="0.3">
      <c r="A71">
        <v>47</v>
      </c>
      <c r="B71">
        <v>3903.6440193140625</v>
      </c>
      <c r="C71">
        <v>-658.64401931406246</v>
      </c>
    </row>
    <row r="72" spans="1:3" x14ac:dyDescent="0.3">
      <c r="A72">
        <v>48</v>
      </c>
      <c r="B72">
        <v>3586.3832768479865</v>
      </c>
      <c r="C72">
        <v>-372.38327684798651</v>
      </c>
    </row>
    <row r="73" spans="1:3" x14ac:dyDescent="0.3">
      <c r="A73">
        <v>49</v>
      </c>
      <c r="B73">
        <v>3586.3832768479865</v>
      </c>
      <c r="C73">
        <v>-247.38327684798651</v>
      </c>
    </row>
    <row r="74" spans="1:3" x14ac:dyDescent="0.3">
      <c r="A74">
        <v>50</v>
      </c>
      <c r="B74">
        <v>3745.0136480810247</v>
      </c>
      <c r="C74">
        <v>-146.01364808102471</v>
      </c>
    </row>
    <row r="75" spans="1:3" x14ac:dyDescent="0.3">
      <c r="A75">
        <v>51</v>
      </c>
      <c r="B75">
        <v>6124.4692165765955</v>
      </c>
      <c r="C75">
        <v>391.5307834234045</v>
      </c>
    </row>
    <row r="76" spans="1:3" x14ac:dyDescent="0.3">
      <c r="A76">
        <v>52</v>
      </c>
      <c r="B76">
        <v>7234.881815207862</v>
      </c>
      <c r="C76">
        <v>-139.88181520786202</v>
      </c>
    </row>
    <row r="77" spans="1:3" x14ac:dyDescent="0.3">
      <c r="A77">
        <v>53</v>
      </c>
      <c r="B77">
        <v>7869.4033001400139</v>
      </c>
      <c r="C77">
        <v>733.59669985998607</v>
      </c>
    </row>
    <row r="78" spans="1:3" x14ac:dyDescent="0.3">
      <c r="A78">
        <v>54</v>
      </c>
      <c r="B78">
        <v>6917.6210727417856</v>
      </c>
      <c r="C78">
        <v>167.37892725821439</v>
      </c>
    </row>
    <row r="79" spans="1:3" x14ac:dyDescent="0.3">
      <c r="A79">
        <v>55</v>
      </c>
      <c r="B79">
        <v>5807.2084741105191</v>
      </c>
      <c r="C79">
        <v>-725.20847411051909</v>
      </c>
    </row>
    <row r="80" spans="1:3" x14ac:dyDescent="0.3">
      <c r="A80">
        <v>56</v>
      </c>
      <c r="B80">
        <v>3110.4921631488724</v>
      </c>
      <c r="C80">
        <v>-780.49216314887235</v>
      </c>
    </row>
    <row r="81" spans="1:3" x14ac:dyDescent="0.3">
      <c r="A81">
        <v>57</v>
      </c>
      <c r="B81">
        <v>6441.7299590426719</v>
      </c>
      <c r="C81">
        <v>-721.72995904267191</v>
      </c>
    </row>
    <row r="82" spans="1:3" x14ac:dyDescent="0.3">
      <c r="A82">
        <v>58</v>
      </c>
      <c r="B82">
        <v>3586.3832768479865</v>
      </c>
      <c r="C82">
        <v>-898.38327684798651</v>
      </c>
    </row>
    <row r="83" spans="1:3" x14ac:dyDescent="0.3">
      <c r="A83">
        <v>59</v>
      </c>
      <c r="B83">
        <v>4379.5351330131771</v>
      </c>
      <c r="C83">
        <v>-13.535133013177074</v>
      </c>
    </row>
    <row r="84" spans="1:3" x14ac:dyDescent="0.3">
      <c r="A84">
        <v>60</v>
      </c>
      <c r="B84">
        <v>4696.7958754792526</v>
      </c>
      <c r="C84">
        <v>-326.79587547925257</v>
      </c>
    </row>
    <row r="85" spans="1:3" x14ac:dyDescent="0.3">
      <c r="A85">
        <v>61</v>
      </c>
      <c r="B85">
        <v>6124.4692165765955</v>
      </c>
      <c r="C85">
        <v>89.5307834234045</v>
      </c>
    </row>
    <row r="86" spans="1:3" x14ac:dyDescent="0.3">
      <c r="A86">
        <v>62</v>
      </c>
      <c r="B86">
        <v>4538.1655042462153</v>
      </c>
      <c r="C86">
        <v>9.8344957537847222</v>
      </c>
    </row>
    <row r="87" spans="1:3" x14ac:dyDescent="0.3">
      <c r="A87">
        <v>63</v>
      </c>
      <c r="B87">
        <v>3269.1225343819106</v>
      </c>
      <c r="C87">
        <v>-1006.1225343819106</v>
      </c>
    </row>
    <row r="88" spans="1:3" x14ac:dyDescent="0.3">
      <c r="A88">
        <v>64</v>
      </c>
      <c r="B88">
        <v>3427.7529056149483</v>
      </c>
      <c r="C88">
        <v>413.2470943850517</v>
      </c>
    </row>
    <row r="89" spans="1:3" x14ac:dyDescent="0.3">
      <c r="A89">
        <v>65</v>
      </c>
      <c r="B89">
        <v>3745.0136480810247</v>
      </c>
      <c r="C89">
        <v>521.98635191897529</v>
      </c>
    </row>
    <row r="90" spans="1:3" x14ac:dyDescent="0.3">
      <c r="A90">
        <v>66</v>
      </c>
      <c r="B90">
        <v>8028.0336713730521</v>
      </c>
      <c r="C90">
        <v>-257.03367137305213</v>
      </c>
    </row>
    <row r="91" spans="1:3" x14ac:dyDescent="0.3">
      <c r="A91">
        <v>67</v>
      </c>
      <c r="B91">
        <v>3269.1225343819106</v>
      </c>
      <c r="C91">
        <v>152.87746561808945</v>
      </c>
    </row>
    <row r="92" spans="1:3" x14ac:dyDescent="0.3">
      <c r="A92">
        <v>68</v>
      </c>
      <c r="B92">
        <v>4696.7958754792526</v>
      </c>
      <c r="C92">
        <v>817.20412452074743</v>
      </c>
    </row>
    <row r="93" spans="1:3" x14ac:dyDescent="0.3">
      <c r="A93">
        <v>69</v>
      </c>
      <c r="B93">
        <v>4696.7958754792526</v>
      </c>
      <c r="C93">
        <v>-289.79587547925257</v>
      </c>
    </row>
    <row r="94" spans="1:3" x14ac:dyDescent="0.3">
      <c r="A94">
        <v>70</v>
      </c>
      <c r="B94">
        <v>7552.1425576739384</v>
      </c>
      <c r="C94">
        <v>-690.14255767393843</v>
      </c>
    </row>
    <row r="95" spans="1:3" x14ac:dyDescent="0.3">
      <c r="A95">
        <v>71</v>
      </c>
      <c r="B95">
        <v>5807.2084741105191</v>
      </c>
      <c r="C95">
        <v>-1115.2084741105191</v>
      </c>
    </row>
    <row r="96" spans="1:3" x14ac:dyDescent="0.3">
      <c r="A96">
        <v>72</v>
      </c>
      <c r="B96">
        <v>5172.6869891783672</v>
      </c>
      <c r="C96">
        <v>-214.68698917836718</v>
      </c>
    </row>
    <row r="97" spans="1:3" x14ac:dyDescent="0.3">
      <c r="A97">
        <v>73</v>
      </c>
      <c r="B97">
        <v>4696.7958754792526</v>
      </c>
      <c r="C97">
        <v>409.20412452074743</v>
      </c>
    </row>
    <row r="98" spans="1:3" x14ac:dyDescent="0.3">
      <c r="A98">
        <v>74</v>
      </c>
      <c r="B98">
        <v>8503.9247850721658</v>
      </c>
      <c r="C98">
        <v>852.07521492783417</v>
      </c>
    </row>
    <row r="99" spans="1:3" x14ac:dyDescent="0.3">
      <c r="A99">
        <v>75</v>
      </c>
      <c r="B99">
        <v>6600.3603302757092</v>
      </c>
      <c r="C99">
        <v>559.6396697242908</v>
      </c>
    </row>
    <row r="100" spans="1:3" x14ac:dyDescent="0.3">
      <c r="A100">
        <v>76</v>
      </c>
      <c r="B100">
        <v>3586.3832768479865</v>
      </c>
      <c r="C100">
        <v>35.616723152013492</v>
      </c>
    </row>
    <row r="101" spans="1:3" x14ac:dyDescent="0.3">
      <c r="A101">
        <v>77</v>
      </c>
      <c r="B101">
        <v>6283.0995878096337</v>
      </c>
      <c r="C101">
        <v>824.9004121903663</v>
      </c>
    </row>
    <row r="102" spans="1:3" x14ac:dyDescent="0.3">
      <c r="A102">
        <v>78</v>
      </c>
      <c r="B102">
        <v>4220.9047617801389</v>
      </c>
      <c r="C102">
        <v>-143.90476178013887</v>
      </c>
    </row>
    <row r="103" spans="1:3" x14ac:dyDescent="0.3">
      <c r="A103">
        <v>79</v>
      </c>
      <c r="B103">
        <v>4855.4262467122908</v>
      </c>
      <c r="C103">
        <v>-460.42624671229078</v>
      </c>
    </row>
    <row r="104" spans="1:3" x14ac:dyDescent="0.3">
      <c r="A104">
        <v>80</v>
      </c>
      <c r="B104">
        <v>5489.9477316444427</v>
      </c>
      <c r="C104">
        <v>-192.94773164444268</v>
      </c>
    </row>
    <row r="105" spans="1:3" x14ac:dyDescent="0.3">
      <c r="A105">
        <v>81</v>
      </c>
      <c r="B105">
        <v>5965.8388453435573</v>
      </c>
      <c r="C105">
        <v>-337.8388453435573</v>
      </c>
    </row>
    <row r="106" spans="1:3" x14ac:dyDescent="0.3">
      <c r="A106">
        <v>82</v>
      </c>
      <c r="B106">
        <v>5965.8388453435573</v>
      </c>
      <c r="C106">
        <v>-350.8388453435573</v>
      </c>
    </row>
    <row r="107" spans="1:3" x14ac:dyDescent="0.3">
      <c r="A107">
        <v>83</v>
      </c>
      <c r="B107">
        <v>5965.8388453435573</v>
      </c>
      <c r="C107">
        <v>-841.8388453435573</v>
      </c>
    </row>
    <row r="108" spans="1:3" x14ac:dyDescent="0.3">
      <c r="A108">
        <v>84</v>
      </c>
      <c r="B108">
        <v>3269.1225343819106</v>
      </c>
      <c r="C108">
        <v>384.87746561808945</v>
      </c>
    </row>
    <row r="109" spans="1:3" x14ac:dyDescent="0.3">
      <c r="A109">
        <v>85</v>
      </c>
      <c r="B109">
        <v>5648.5781028774818</v>
      </c>
      <c r="C109">
        <v>154.4218971225182</v>
      </c>
    </row>
    <row r="110" spans="1:3" x14ac:dyDescent="0.3">
      <c r="A110">
        <v>86</v>
      </c>
      <c r="B110">
        <v>5172.6869891783672</v>
      </c>
      <c r="C110">
        <v>1224.3130108216328</v>
      </c>
    </row>
    <row r="111" spans="1:3" x14ac:dyDescent="0.3">
      <c r="A111">
        <v>87</v>
      </c>
      <c r="B111">
        <v>5014.056617945329</v>
      </c>
      <c r="C111">
        <v>552.94338205467102</v>
      </c>
    </row>
    <row r="112" spans="1:3" x14ac:dyDescent="0.3">
      <c r="A112">
        <v>88</v>
      </c>
      <c r="B112">
        <v>7710.7729289069757</v>
      </c>
      <c r="C112">
        <v>472.22707109302428</v>
      </c>
    </row>
    <row r="113" spans="1:3" x14ac:dyDescent="0.3">
      <c r="A113">
        <v>89</v>
      </c>
      <c r="B113">
        <v>4379.5351330131771</v>
      </c>
      <c r="C113">
        <v>385.46486698682293</v>
      </c>
    </row>
    <row r="114" spans="1:3" x14ac:dyDescent="0.3">
      <c r="A114">
        <v>90</v>
      </c>
      <c r="B114">
        <v>3269.1225343819106</v>
      </c>
      <c r="C114">
        <v>1061.8774656180894</v>
      </c>
    </row>
    <row r="115" spans="1:3" x14ac:dyDescent="0.3">
      <c r="A115">
        <v>91</v>
      </c>
      <c r="B115">
        <v>4062.2743905471007</v>
      </c>
      <c r="C115">
        <v>-603.27439054710067</v>
      </c>
    </row>
    <row r="116" spans="1:3" x14ac:dyDescent="0.3">
      <c r="A116">
        <v>92</v>
      </c>
      <c r="B116">
        <v>3269.1225343819106</v>
      </c>
      <c r="C116">
        <v>152.87746561808945</v>
      </c>
    </row>
    <row r="117" spans="1:3" x14ac:dyDescent="0.3">
      <c r="A117">
        <v>93</v>
      </c>
      <c r="B117">
        <v>5648.5781028774818</v>
      </c>
      <c r="C117">
        <v>-293.5781028774818</v>
      </c>
    </row>
    <row r="118" spans="1:3" x14ac:dyDescent="0.3">
      <c r="A118">
        <v>94</v>
      </c>
      <c r="B118">
        <v>3269.1225343819106</v>
      </c>
      <c r="C118">
        <v>-683.12253438191055</v>
      </c>
    </row>
    <row r="119" spans="1:3" x14ac:dyDescent="0.3">
      <c r="A119">
        <v>95</v>
      </c>
      <c r="B119">
        <v>4538.1655042462153</v>
      </c>
      <c r="C119">
        <v>-126.16550424621528</v>
      </c>
    </row>
    <row r="120" spans="1:3" x14ac:dyDescent="0.3">
      <c r="A120">
        <v>96</v>
      </c>
      <c r="B120">
        <v>3586.3832768479865</v>
      </c>
      <c r="C120">
        <v>378.61672315201349</v>
      </c>
    </row>
    <row r="121" spans="1:3" x14ac:dyDescent="0.3">
      <c r="A121">
        <v>97</v>
      </c>
      <c r="B121">
        <v>5965.8388453435573</v>
      </c>
      <c r="C121">
        <v>548.1611546564427</v>
      </c>
    </row>
    <row r="122" spans="1:3" x14ac:dyDescent="0.3">
      <c r="A122">
        <v>98</v>
      </c>
      <c r="B122">
        <v>5014.056617945329</v>
      </c>
      <c r="C122">
        <v>463.94338205467102</v>
      </c>
    </row>
    <row r="123" spans="1:3" x14ac:dyDescent="0.3">
      <c r="A123">
        <v>99</v>
      </c>
      <c r="B123">
        <v>3110.4921631488724</v>
      </c>
      <c r="C123">
        <v>505.50783685112765</v>
      </c>
    </row>
    <row r="124" spans="1:3" x14ac:dyDescent="0.3">
      <c r="A124">
        <v>100</v>
      </c>
      <c r="B124">
        <v>4855.4262467122908</v>
      </c>
      <c r="C124">
        <v>664.57375328770922</v>
      </c>
    </row>
    <row r="125" spans="1:3" x14ac:dyDescent="0.3">
      <c r="A125">
        <v>101</v>
      </c>
      <c r="B125">
        <v>4220.9047617801389</v>
      </c>
      <c r="C125">
        <v>135.09523821986113</v>
      </c>
    </row>
    <row r="126" spans="1:3" x14ac:dyDescent="0.3">
      <c r="A126">
        <v>102</v>
      </c>
      <c r="B126">
        <v>3110.4921631488724</v>
      </c>
      <c r="C126">
        <v>58.507836851127649</v>
      </c>
    </row>
    <row r="127" spans="1:3" x14ac:dyDescent="0.3">
      <c r="A127">
        <v>103</v>
      </c>
      <c r="B127">
        <v>3427.7529056149483</v>
      </c>
      <c r="C127">
        <v>-53.752905614948304</v>
      </c>
    </row>
    <row r="128" spans="1:3" x14ac:dyDescent="0.3">
      <c r="A128">
        <v>104</v>
      </c>
      <c r="B128">
        <v>4696.7958754792526</v>
      </c>
      <c r="C128">
        <v>-84.795875479252572</v>
      </c>
    </row>
    <row r="129" spans="1:3" x14ac:dyDescent="0.3">
      <c r="A129">
        <v>105</v>
      </c>
      <c r="B129">
        <v>7552.1425576739384</v>
      </c>
      <c r="C129">
        <v>449.85744232606157</v>
      </c>
    </row>
    <row r="130" spans="1:3" x14ac:dyDescent="0.3">
      <c r="A130">
        <v>106</v>
      </c>
      <c r="B130">
        <v>3269.1225343819106</v>
      </c>
      <c r="C130">
        <v>-341.12253438191055</v>
      </c>
    </row>
    <row r="131" spans="1:3" x14ac:dyDescent="0.3">
      <c r="A131">
        <v>107</v>
      </c>
      <c r="B131">
        <v>3110.4921631488724</v>
      </c>
      <c r="C131">
        <v>-67.492163148872351</v>
      </c>
    </row>
    <row r="132" spans="1:3" x14ac:dyDescent="0.3">
      <c r="A132">
        <v>108</v>
      </c>
      <c r="B132">
        <v>3269.1225343819106</v>
      </c>
      <c r="C132">
        <v>-352.12253438191055</v>
      </c>
    </row>
    <row r="133" spans="1:3" x14ac:dyDescent="0.3">
      <c r="A133">
        <v>109</v>
      </c>
      <c r="B133">
        <v>3903.6440193140625</v>
      </c>
      <c r="C133">
        <v>886.35598068593754</v>
      </c>
    </row>
    <row r="134" spans="1:3" x14ac:dyDescent="0.3">
      <c r="A134">
        <v>110</v>
      </c>
      <c r="B134">
        <v>4538.1655042462153</v>
      </c>
      <c r="C134">
        <v>792.83449575378472</v>
      </c>
    </row>
    <row r="135" spans="1:3" x14ac:dyDescent="0.3">
      <c r="A135">
        <v>111</v>
      </c>
      <c r="B135">
        <v>4855.4262467122908</v>
      </c>
      <c r="C135">
        <v>413.57375328770922</v>
      </c>
    </row>
    <row r="136" spans="1:3" x14ac:dyDescent="0.3">
      <c r="A136">
        <v>112</v>
      </c>
      <c r="B136">
        <v>3269.1225343819106</v>
      </c>
      <c r="C136">
        <v>860.87746561808945</v>
      </c>
    </row>
    <row r="137" spans="1:3" x14ac:dyDescent="0.3">
      <c r="A137">
        <v>113</v>
      </c>
      <c r="B137">
        <v>6283.0995878096337</v>
      </c>
      <c r="C137">
        <v>-484.0995878096337</v>
      </c>
    </row>
    <row r="138" spans="1:3" x14ac:dyDescent="0.3">
      <c r="A138">
        <v>114</v>
      </c>
      <c r="B138">
        <v>4538.1655042462153</v>
      </c>
      <c r="C138">
        <v>351.83449575378472</v>
      </c>
    </row>
    <row r="139" spans="1:3" x14ac:dyDescent="0.3">
      <c r="A139">
        <v>115</v>
      </c>
      <c r="B139">
        <v>5648.5781028774818</v>
      </c>
      <c r="C139">
        <v>-822.5781028774818</v>
      </c>
    </row>
    <row r="140" spans="1:3" x14ac:dyDescent="0.3">
      <c r="A140">
        <v>116</v>
      </c>
      <c r="B140">
        <v>8345.2944138391285</v>
      </c>
      <c r="C140">
        <v>-323.29441383912854</v>
      </c>
    </row>
    <row r="141" spans="1:3" x14ac:dyDescent="0.3">
      <c r="A141">
        <v>117</v>
      </c>
      <c r="B141">
        <v>3745.0136480810247</v>
      </c>
      <c r="C141">
        <v>-105.01364808102471</v>
      </c>
    </row>
    <row r="142" spans="1:3" x14ac:dyDescent="0.3">
      <c r="A142">
        <v>118</v>
      </c>
      <c r="B142">
        <v>3427.7529056149483</v>
      </c>
      <c r="C142">
        <v>561.2470943850517</v>
      </c>
    </row>
    <row r="143" spans="1:3" x14ac:dyDescent="0.3">
      <c r="A143">
        <v>119</v>
      </c>
      <c r="B143">
        <v>3903.6440193140625</v>
      </c>
      <c r="C143">
        <v>-1038.6440193140625</v>
      </c>
    </row>
    <row r="144" spans="1:3" x14ac:dyDescent="0.3">
      <c r="A144">
        <v>120</v>
      </c>
      <c r="B144">
        <v>8345.2944138391285</v>
      </c>
      <c r="C144">
        <v>273.70558616087146</v>
      </c>
    </row>
    <row r="145" spans="1:3" x14ac:dyDescent="0.3">
      <c r="A145">
        <v>121</v>
      </c>
      <c r="B145">
        <v>3269.1225343819106</v>
      </c>
      <c r="C145">
        <v>74.877465618089445</v>
      </c>
    </row>
    <row r="146" spans="1:3" x14ac:dyDescent="0.3">
      <c r="A146">
        <v>122</v>
      </c>
      <c r="B146">
        <v>7552.1425576739384</v>
      </c>
      <c r="C146">
        <v>1163.8574423260616</v>
      </c>
    </row>
    <row r="147" spans="1:3" x14ac:dyDescent="0.3">
      <c r="A147">
        <v>123</v>
      </c>
      <c r="B147">
        <v>5014.056617945329</v>
      </c>
      <c r="C147">
        <v>-304.05661794532898</v>
      </c>
    </row>
    <row r="148" spans="1:3" x14ac:dyDescent="0.3">
      <c r="A148">
        <v>124</v>
      </c>
      <c r="B148">
        <v>3745.0136480810247</v>
      </c>
      <c r="C148">
        <v>98.986351918975288</v>
      </c>
    </row>
    <row r="149" spans="1:3" x14ac:dyDescent="0.3">
      <c r="A149">
        <v>125</v>
      </c>
      <c r="B149">
        <v>6758.9907015087483</v>
      </c>
      <c r="C149">
        <v>-589.99070150874832</v>
      </c>
    </row>
    <row r="150" spans="1:3" x14ac:dyDescent="0.3">
      <c r="A150">
        <v>126</v>
      </c>
      <c r="B150">
        <v>5489.9477316444427</v>
      </c>
      <c r="C150">
        <v>978.05226835555732</v>
      </c>
    </row>
    <row r="151" spans="1:3" x14ac:dyDescent="0.3">
      <c r="A151">
        <v>127</v>
      </c>
      <c r="B151">
        <v>8345.2944138391285</v>
      </c>
      <c r="C151">
        <v>-987.29441383912854</v>
      </c>
    </row>
    <row r="152" spans="1:3" x14ac:dyDescent="0.3">
      <c r="A152">
        <v>128</v>
      </c>
      <c r="B152">
        <v>3269.1225343819106</v>
      </c>
      <c r="C152">
        <v>1398.8774656180894</v>
      </c>
    </row>
    <row r="153" spans="1:3" x14ac:dyDescent="0.3">
      <c r="A153">
        <v>129</v>
      </c>
      <c r="B153">
        <v>4696.7958754792526</v>
      </c>
      <c r="C153">
        <v>898.20412452074743</v>
      </c>
    </row>
    <row r="154" spans="1:3" x14ac:dyDescent="0.3">
      <c r="A154">
        <v>130</v>
      </c>
      <c r="B154">
        <v>3269.1225343819106</v>
      </c>
      <c r="C154">
        <v>76.877465618089445</v>
      </c>
    </row>
    <row r="155" spans="1:3" x14ac:dyDescent="0.3">
      <c r="A155">
        <v>131</v>
      </c>
      <c r="B155">
        <v>3745.0136480810247</v>
      </c>
      <c r="C155">
        <v>126.98635191897529</v>
      </c>
    </row>
    <row r="156" spans="1:3" x14ac:dyDescent="0.3">
      <c r="A156">
        <v>132</v>
      </c>
      <c r="B156">
        <v>3269.1225343819106</v>
      </c>
      <c r="C156">
        <v>-372.12253438191055</v>
      </c>
    </row>
    <row r="157" spans="1:3" x14ac:dyDescent="0.3">
      <c r="A157">
        <v>133</v>
      </c>
      <c r="B157">
        <v>3745.0136480810247</v>
      </c>
      <c r="C157">
        <v>-390.01364808102471</v>
      </c>
    </row>
    <row r="158" spans="1:3" x14ac:dyDescent="0.3">
      <c r="A158">
        <v>134</v>
      </c>
      <c r="B158">
        <v>4696.7958754792526</v>
      </c>
      <c r="C158">
        <v>272.20412452074743</v>
      </c>
    </row>
    <row r="159" spans="1:3" x14ac:dyDescent="0.3">
      <c r="A159">
        <v>135</v>
      </c>
      <c r="B159">
        <v>4379.5351330131771</v>
      </c>
      <c r="C159">
        <v>-647.53513301317707</v>
      </c>
    </row>
    <row r="160" spans="1:3" x14ac:dyDescent="0.3">
      <c r="A160">
        <v>136</v>
      </c>
      <c r="B160">
        <v>4855.4262467122908</v>
      </c>
      <c r="C160">
        <v>1066.5737532877092</v>
      </c>
    </row>
    <row r="161" spans="1:3" x14ac:dyDescent="0.3">
      <c r="A161">
        <v>137</v>
      </c>
      <c r="B161">
        <v>3110.4921631488724</v>
      </c>
      <c r="C161">
        <v>-121.49216314887235</v>
      </c>
    </row>
    <row r="162" spans="1:3" x14ac:dyDescent="0.3">
      <c r="A162">
        <v>138</v>
      </c>
      <c r="B162">
        <v>3427.7529056149483</v>
      </c>
      <c r="C162">
        <v>1057.2470943850517</v>
      </c>
    </row>
    <row r="163" spans="1:3" x14ac:dyDescent="0.3">
      <c r="A163">
        <v>139</v>
      </c>
      <c r="B163">
        <v>4220.9047617801389</v>
      </c>
      <c r="C163">
        <v>47.09523821986113</v>
      </c>
    </row>
    <row r="164" spans="1:3" x14ac:dyDescent="0.3">
      <c r="A164">
        <v>140</v>
      </c>
      <c r="B164">
        <v>4538.1655042462153</v>
      </c>
      <c r="C164">
        <v>-1350.1655042462153</v>
      </c>
    </row>
    <row r="165" spans="1:3" x14ac:dyDescent="0.3">
      <c r="A165">
        <v>141</v>
      </c>
      <c r="B165">
        <v>4855.4262467122908</v>
      </c>
      <c r="C165">
        <v>981.57375328770922</v>
      </c>
    </row>
    <row r="166" spans="1:3" x14ac:dyDescent="0.3">
      <c r="A166">
        <v>142</v>
      </c>
      <c r="B166">
        <v>5014.056617945329</v>
      </c>
      <c r="C166">
        <v>-870.05661794532898</v>
      </c>
    </row>
    <row r="167" spans="1:3" x14ac:dyDescent="0.3">
      <c r="A167">
        <v>143</v>
      </c>
      <c r="B167">
        <v>3110.4921631488724</v>
      </c>
      <c r="C167">
        <v>156.50783685112765</v>
      </c>
    </row>
    <row r="168" spans="1:3" x14ac:dyDescent="0.3">
      <c r="A168">
        <v>144</v>
      </c>
      <c r="B168">
        <v>3586.3832768479865</v>
      </c>
      <c r="C168">
        <v>205.61672315201349</v>
      </c>
    </row>
    <row r="169" spans="1:3" x14ac:dyDescent="0.3">
      <c r="A169">
        <v>145</v>
      </c>
      <c r="B169">
        <v>4538.1655042462153</v>
      </c>
      <c r="C169">
        <v>-182.16550424621528</v>
      </c>
    </row>
    <row r="170" spans="1:3" x14ac:dyDescent="0.3">
      <c r="A170">
        <v>146</v>
      </c>
      <c r="B170">
        <v>5807.2084741105191</v>
      </c>
      <c r="C170">
        <v>-648.20847411051909</v>
      </c>
    </row>
    <row r="171" spans="1:3" x14ac:dyDescent="0.3">
      <c r="A171">
        <v>147</v>
      </c>
      <c r="B171">
        <v>3427.7529056149483</v>
      </c>
      <c r="C171">
        <v>-182.7529056149483</v>
      </c>
    </row>
    <row r="172" spans="1:3" x14ac:dyDescent="0.3">
      <c r="A172">
        <v>148</v>
      </c>
      <c r="B172">
        <v>5965.8388453435573</v>
      </c>
      <c r="C172">
        <v>728.1611546564427</v>
      </c>
    </row>
    <row r="173" spans="1:3" x14ac:dyDescent="0.3">
      <c r="A173">
        <v>149</v>
      </c>
      <c r="B173">
        <v>4062.2743905471007</v>
      </c>
      <c r="C173">
        <v>17.725609452899334</v>
      </c>
    </row>
    <row r="174" spans="1:3" ht="15" thickBot="1" x14ac:dyDescent="0.35">
      <c r="A174" s="4">
        <v>150</v>
      </c>
      <c r="B174" s="4">
        <v>3586.3832768479865</v>
      </c>
      <c r="C174" s="4">
        <v>-587.38327684798651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B2C1-F40C-4473-8A54-B4932D72BE76}">
  <dimension ref="A1:I177"/>
  <sheetViews>
    <sheetView zoomScale="88" workbookViewId="0">
      <selection activeCell="L12" sqref="L12"/>
    </sheetView>
  </sheetViews>
  <sheetFormatPr defaultRowHeight="14.4" x14ac:dyDescent="0.3"/>
  <cols>
    <col min="1" max="1" width="19" customWidth="1"/>
    <col min="2" max="2" width="17.21875" customWidth="1"/>
    <col min="3" max="3" width="18.33203125" customWidth="1"/>
    <col min="4" max="4" width="11" bestFit="1" customWidth="1"/>
    <col min="5" max="5" width="15.88671875" customWidth="1"/>
    <col min="6" max="6" width="16.44140625" customWidth="1"/>
    <col min="7" max="7" width="12.109375" customWidth="1"/>
    <col min="8" max="9" width="9" bestFit="1" customWidth="1"/>
  </cols>
  <sheetData>
    <row r="1" spans="1:9" x14ac:dyDescent="0.3">
      <c r="A1" t="s">
        <v>88</v>
      </c>
    </row>
    <row r="2" spans="1:9" ht="15" thickBot="1" x14ac:dyDescent="0.35"/>
    <row r="3" spans="1:9" x14ac:dyDescent="0.3">
      <c r="A3" s="3" t="s">
        <v>89</v>
      </c>
      <c r="B3" s="3"/>
    </row>
    <row r="4" spans="1:9" x14ac:dyDescent="0.3">
      <c r="A4" t="s">
        <v>90</v>
      </c>
      <c r="B4">
        <v>0.95744492552625793</v>
      </c>
    </row>
    <row r="5" spans="1:9" x14ac:dyDescent="0.3">
      <c r="A5" t="s">
        <v>91</v>
      </c>
      <c r="B5">
        <v>0.91670078541598154</v>
      </c>
    </row>
    <row r="6" spans="1:9" x14ac:dyDescent="0.3">
      <c r="A6" t="s">
        <v>92</v>
      </c>
      <c r="B6">
        <v>0.91440287604814663</v>
      </c>
    </row>
    <row r="7" spans="1:9" x14ac:dyDescent="0.3">
      <c r="A7" t="s">
        <v>93</v>
      </c>
      <c r="B7">
        <v>467.82761551452887</v>
      </c>
    </row>
    <row r="8" spans="1:9" ht="15" thickBot="1" x14ac:dyDescent="0.35">
      <c r="A8" s="4" t="s">
        <v>94</v>
      </c>
      <c r="B8" s="4">
        <v>150</v>
      </c>
    </row>
    <row r="10" spans="1:9" ht="15" thickBot="1" x14ac:dyDescent="0.35">
      <c r="A10" t="s">
        <v>95</v>
      </c>
    </row>
    <row r="11" spans="1:9" x14ac:dyDescent="0.3">
      <c r="A11" s="5"/>
      <c r="B11" s="5" t="s">
        <v>100</v>
      </c>
      <c r="C11" s="5" t="s">
        <v>101</v>
      </c>
      <c r="D11" s="5" t="s">
        <v>102</v>
      </c>
      <c r="E11" s="5" t="s">
        <v>103</v>
      </c>
      <c r="F11" s="5" t="s">
        <v>104</v>
      </c>
    </row>
    <row r="12" spans="1:9" x14ac:dyDescent="0.3">
      <c r="A12" t="s">
        <v>96</v>
      </c>
      <c r="B12">
        <v>4</v>
      </c>
      <c r="C12">
        <v>349241952.67348874</v>
      </c>
      <c r="D12">
        <v>87310488.168372184</v>
      </c>
      <c r="E12">
        <v>398.92817281982911</v>
      </c>
      <c r="F12">
        <v>3.7628530221554506E-77</v>
      </c>
    </row>
    <row r="13" spans="1:9" x14ac:dyDescent="0.3">
      <c r="A13" t="s">
        <v>97</v>
      </c>
      <c r="B13">
        <v>145</v>
      </c>
      <c r="C13">
        <v>31735088.286511432</v>
      </c>
      <c r="D13">
        <v>218862.67783800987</v>
      </c>
    </row>
    <row r="14" spans="1:9" ht="15" thickBot="1" x14ac:dyDescent="0.35">
      <c r="A14" s="4" t="s">
        <v>98</v>
      </c>
      <c r="B14" s="4">
        <v>149</v>
      </c>
      <c r="C14" s="4">
        <v>380977040.96000016</v>
      </c>
      <c r="D14" s="4"/>
      <c r="E14" s="4"/>
      <c r="F14" s="4"/>
    </row>
    <row r="15" spans="1:9" ht="15" thickBot="1" x14ac:dyDescent="0.35"/>
    <row r="16" spans="1:9" x14ac:dyDescent="0.3">
      <c r="A16" s="5"/>
      <c r="B16" s="5" t="s">
        <v>105</v>
      </c>
      <c r="C16" s="5" t="s">
        <v>93</v>
      </c>
      <c r="D16" s="5" t="s">
        <v>106</v>
      </c>
      <c r="E16" s="5" t="s">
        <v>107</v>
      </c>
      <c r="F16" s="5" t="s">
        <v>108</v>
      </c>
      <c r="G16" s="5" t="s">
        <v>109</v>
      </c>
      <c r="H16" s="5" t="s">
        <v>110</v>
      </c>
      <c r="I16" s="5" t="s">
        <v>111</v>
      </c>
    </row>
    <row r="17" spans="1:9" x14ac:dyDescent="0.3">
      <c r="A17" t="s">
        <v>99</v>
      </c>
      <c r="B17">
        <v>1493.8615163253114</v>
      </c>
      <c r="C17">
        <v>234.29287532119923</v>
      </c>
      <c r="D17">
        <v>6.3760432931532005</v>
      </c>
      <c r="E17">
        <v>2.2827925586494613E-9</v>
      </c>
      <c r="F17">
        <v>1030.7911224399659</v>
      </c>
      <c r="G17">
        <v>1956.931910210657</v>
      </c>
      <c r="H17">
        <v>1030.7911224399659</v>
      </c>
      <c r="I17">
        <v>1956.931910210657</v>
      </c>
    </row>
    <row r="18" spans="1:9" x14ac:dyDescent="0.3">
      <c r="A18" t="s">
        <v>1</v>
      </c>
      <c r="B18">
        <v>15.029679257828146</v>
      </c>
      <c r="C18">
        <v>4.8051815348709361</v>
      </c>
      <c r="D18">
        <v>3.1278067537633274</v>
      </c>
      <c r="E18">
        <v>2.1289940868917992E-3</v>
      </c>
      <c r="F18">
        <v>5.5324322630453757</v>
      </c>
      <c r="G18">
        <v>24.526926252610917</v>
      </c>
      <c r="H18">
        <v>5.5324322630453757</v>
      </c>
      <c r="I18">
        <v>24.526926252610917</v>
      </c>
    </row>
    <row r="19" spans="1:9" x14ac:dyDescent="0.3">
      <c r="A19" t="s">
        <v>2</v>
      </c>
      <c r="B19">
        <v>148.85252631957565</v>
      </c>
      <c r="C19">
        <v>5.3528303843903986</v>
      </c>
      <c r="D19">
        <v>27.808190364792878</v>
      </c>
      <c r="E19">
        <v>5.4982854924289446E-60</v>
      </c>
      <c r="F19">
        <v>138.27287351919523</v>
      </c>
      <c r="G19">
        <v>159.43217911995606</v>
      </c>
      <c r="H19">
        <v>138.27287351919523</v>
      </c>
      <c r="I19">
        <v>159.43217911995606</v>
      </c>
    </row>
    <row r="20" spans="1:9" x14ac:dyDescent="0.3">
      <c r="A20" t="s">
        <v>3</v>
      </c>
      <c r="B20">
        <v>548.72052044711074</v>
      </c>
      <c r="C20">
        <v>49.182191598515566</v>
      </c>
      <c r="D20">
        <v>11.156894449243543</v>
      </c>
      <c r="E20">
        <v>2.959964854441944E-21</v>
      </c>
      <c r="F20">
        <v>451.51390755098043</v>
      </c>
      <c r="G20">
        <v>645.92713334324105</v>
      </c>
      <c r="H20">
        <v>451.51390755098043</v>
      </c>
      <c r="I20">
        <v>645.92713334324105</v>
      </c>
    </row>
    <row r="21" spans="1:9" ht="15" thickBot="1" x14ac:dyDescent="0.35">
      <c r="A21" s="4" t="s">
        <v>4</v>
      </c>
      <c r="B21" s="4">
        <v>9.3973956620239125</v>
      </c>
      <c r="C21" s="4">
        <v>5.4009246148100907</v>
      </c>
      <c r="D21" s="4">
        <v>1.7399605312495825</v>
      </c>
      <c r="E21" s="4">
        <v>8.3987697642079986E-2</v>
      </c>
      <c r="F21" s="4">
        <v>-1.2773134399769841</v>
      </c>
      <c r="G21" s="4">
        <v>20.072104764024807</v>
      </c>
      <c r="H21" s="4">
        <v>-1.2773134399769841</v>
      </c>
      <c r="I21" s="4">
        <v>20.072104764024807</v>
      </c>
    </row>
    <row r="25" spans="1:9" x14ac:dyDescent="0.3">
      <c r="A25" t="s">
        <v>112</v>
      </c>
    </row>
    <row r="26" spans="1:9" ht="15" thickBot="1" x14ac:dyDescent="0.35"/>
    <row r="27" spans="1:9" x14ac:dyDescent="0.3">
      <c r="A27" s="5" t="s">
        <v>113</v>
      </c>
      <c r="B27" s="5" t="s">
        <v>114</v>
      </c>
      <c r="C27" s="5" t="s">
        <v>115</v>
      </c>
    </row>
    <row r="28" spans="1:9" x14ac:dyDescent="0.3">
      <c r="A28">
        <v>1</v>
      </c>
      <c r="B28">
        <v>3698.0499197499707</v>
      </c>
      <c r="C28">
        <v>82.950080250029259</v>
      </c>
    </row>
    <row r="29" spans="1:9" x14ac:dyDescent="0.3">
      <c r="A29">
        <v>2</v>
      </c>
      <c r="B29">
        <v>3789.4364060908192</v>
      </c>
      <c r="C29">
        <v>225.56359390918078</v>
      </c>
    </row>
    <row r="30" spans="1:9" x14ac:dyDescent="0.3">
      <c r="A30">
        <v>3</v>
      </c>
      <c r="B30">
        <v>3639.8291432552933</v>
      </c>
      <c r="C30">
        <v>-389.82914325529327</v>
      </c>
    </row>
    <row r="31" spans="1:9" x14ac:dyDescent="0.3">
      <c r="A31">
        <v>4</v>
      </c>
      <c r="B31">
        <v>5814.0077940495157</v>
      </c>
      <c r="C31">
        <v>502.99220595048428</v>
      </c>
    </row>
    <row r="32" spans="1:9" x14ac:dyDescent="0.3">
      <c r="A32">
        <v>5</v>
      </c>
      <c r="B32">
        <v>5651.9927600016963</v>
      </c>
      <c r="C32">
        <v>-785.9927600016963</v>
      </c>
    </row>
    <row r="33" spans="1:3" x14ac:dyDescent="0.3">
      <c r="A33">
        <v>6</v>
      </c>
      <c r="B33">
        <v>3613.5385655649493</v>
      </c>
      <c r="C33">
        <v>-132.53856556494929</v>
      </c>
    </row>
    <row r="34" spans="1:3" x14ac:dyDescent="0.3">
      <c r="A34">
        <v>7</v>
      </c>
      <c r="B34">
        <v>5275.9382169579894</v>
      </c>
      <c r="C34">
        <v>266.06178304201057</v>
      </c>
    </row>
    <row r="35" spans="1:3" x14ac:dyDescent="0.3">
      <c r="A35">
        <v>8</v>
      </c>
      <c r="B35">
        <v>6126.2888516685662</v>
      </c>
      <c r="C35">
        <v>-113.28885166856617</v>
      </c>
    </row>
    <row r="36" spans="1:3" x14ac:dyDescent="0.3">
      <c r="A36">
        <v>9</v>
      </c>
      <c r="B36">
        <v>6157.4606451978561</v>
      </c>
      <c r="C36">
        <v>-436.46064519785614</v>
      </c>
    </row>
    <row r="37" spans="1:3" x14ac:dyDescent="0.3">
      <c r="A37">
        <v>10</v>
      </c>
      <c r="B37">
        <v>5766.9900467323459</v>
      </c>
      <c r="C37">
        <v>140.00995326765405</v>
      </c>
    </row>
    <row r="38" spans="1:3" x14ac:dyDescent="0.3">
      <c r="A38">
        <v>11</v>
      </c>
      <c r="B38">
        <v>3304.5689457341896</v>
      </c>
      <c r="C38">
        <v>-199.56894573418958</v>
      </c>
    </row>
    <row r="39" spans="1:3" x14ac:dyDescent="0.3">
      <c r="A39">
        <v>12</v>
      </c>
      <c r="B39">
        <v>4790.7733631224328</v>
      </c>
      <c r="C39">
        <v>-299.77336312243278</v>
      </c>
    </row>
    <row r="40" spans="1:3" x14ac:dyDescent="0.3">
      <c r="A40">
        <v>13</v>
      </c>
      <c r="B40">
        <v>3813.5353185246927</v>
      </c>
      <c r="C40">
        <v>443.46468147530732</v>
      </c>
    </row>
    <row r="41" spans="1:3" x14ac:dyDescent="0.3">
      <c r="A41">
        <v>14</v>
      </c>
      <c r="B41">
        <v>7932.3956248341046</v>
      </c>
      <c r="C41">
        <v>215.60437516589536</v>
      </c>
    </row>
    <row r="42" spans="1:3" x14ac:dyDescent="0.3">
      <c r="A42">
        <v>15</v>
      </c>
      <c r="B42">
        <v>7149.853880845375</v>
      </c>
      <c r="C42">
        <v>-414.85388084537499</v>
      </c>
    </row>
    <row r="43" spans="1:3" x14ac:dyDescent="0.3">
      <c r="A43">
        <v>16</v>
      </c>
      <c r="B43">
        <v>2623.5609185098447</v>
      </c>
      <c r="C43">
        <v>-305.56091850984467</v>
      </c>
    </row>
    <row r="44" spans="1:3" x14ac:dyDescent="0.3">
      <c r="A44">
        <v>17</v>
      </c>
      <c r="B44">
        <v>7197.5303888982507</v>
      </c>
      <c r="C44">
        <v>-275.53038889825075</v>
      </c>
    </row>
    <row r="45" spans="1:3" x14ac:dyDescent="0.3">
      <c r="A45">
        <v>18</v>
      </c>
      <c r="B45">
        <v>3275.2606549753909</v>
      </c>
      <c r="C45">
        <v>-707.26065497539093</v>
      </c>
    </row>
    <row r="46" spans="1:3" x14ac:dyDescent="0.3">
      <c r="A46">
        <v>19</v>
      </c>
      <c r="B46">
        <v>4778.4566659359461</v>
      </c>
      <c r="C46">
        <v>-68.456665935946148</v>
      </c>
    </row>
    <row r="47" spans="1:3" x14ac:dyDescent="0.3">
      <c r="A47">
        <v>20</v>
      </c>
      <c r="B47">
        <v>7464.4865532789909</v>
      </c>
      <c r="C47">
        <v>-363.48655327899087</v>
      </c>
    </row>
    <row r="48" spans="1:3" x14ac:dyDescent="0.3">
      <c r="A48">
        <v>21</v>
      </c>
      <c r="B48">
        <v>7617.0734226577351</v>
      </c>
      <c r="C48">
        <v>-925.07342265773514</v>
      </c>
    </row>
    <row r="49" spans="1:3" x14ac:dyDescent="0.3">
      <c r="A49">
        <v>22</v>
      </c>
      <c r="B49">
        <v>4540.0552887934009</v>
      </c>
      <c r="C49">
        <v>-232.0552887934009</v>
      </c>
    </row>
    <row r="50" spans="1:3" x14ac:dyDescent="0.3">
      <c r="A50">
        <v>23</v>
      </c>
      <c r="B50">
        <v>2870.152513515879</v>
      </c>
      <c r="C50">
        <v>248.84748648412096</v>
      </c>
    </row>
    <row r="51" spans="1:3" x14ac:dyDescent="0.3">
      <c r="A51">
        <v>24</v>
      </c>
      <c r="B51">
        <v>5015.2587290161291</v>
      </c>
      <c r="C51">
        <v>217.74127098387089</v>
      </c>
    </row>
    <row r="52" spans="1:3" x14ac:dyDescent="0.3">
      <c r="A52">
        <v>25</v>
      </c>
      <c r="B52">
        <v>3350.5037940494317</v>
      </c>
      <c r="C52">
        <v>-274.50379404943169</v>
      </c>
    </row>
    <row r="53" spans="1:3" x14ac:dyDescent="0.3">
      <c r="A53">
        <v>26</v>
      </c>
      <c r="B53">
        <v>6900.091960730977</v>
      </c>
      <c r="C53">
        <v>-237.09196073097701</v>
      </c>
    </row>
    <row r="54" spans="1:3" x14ac:dyDescent="0.3">
      <c r="A54">
        <v>27</v>
      </c>
      <c r="B54">
        <v>5276.7532584926957</v>
      </c>
      <c r="C54">
        <v>161.24674150730425</v>
      </c>
    </row>
    <row r="55" spans="1:3" x14ac:dyDescent="0.3">
      <c r="A55">
        <v>28</v>
      </c>
      <c r="B55">
        <v>3352.0095983222386</v>
      </c>
      <c r="C55">
        <v>-385.00959832223862</v>
      </c>
    </row>
    <row r="56" spans="1:3" x14ac:dyDescent="0.3">
      <c r="A56">
        <v>29</v>
      </c>
      <c r="B56">
        <v>6031.5601585323757</v>
      </c>
      <c r="C56">
        <v>-1051.5601585323757</v>
      </c>
    </row>
    <row r="57" spans="1:3" x14ac:dyDescent="0.3">
      <c r="A57">
        <v>30</v>
      </c>
      <c r="B57">
        <v>6008.6388878853313</v>
      </c>
      <c r="C57">
        <v>-246.63888788533131</v>
      </c>
    </row>
    <row r="58" spans="1:3" x14ac:dyDescent="0.3">
      <c r="A58">
        <v>31</v>
      </c>
      <c r="B58">
        <v>7845.8879185684555</v>
      </c>
      <c r="C58">
        <v>-357.88791856845546</v>
      </c>
    </row>
    <row r="59" spans="1:3" x14ac:dyDescent="0.3">
      <c r="A59">
        <v>32</v>
      </c>
      <c r="B59">
        <v>4728.395338297707</v>
      </c>
      <c r="C59">
        <v>-507.39533829770699</v>
      </c>
    </row>
    <row r="60" spans="1:3" x14ac:dyDescent="0.3">
      <c r="A60">
        <v>33</v>
      </c>
      <c r="B60">
        <v>5560.9036671397753</v>
      </c>
      <c r="C60">
        <v>-301.90366713977528</v>
      </c>
    </row>
    <row r="61" spans="1:3" x14ac:dyDescent="0.3">
      <c r="A61">
        <v>34</v>
      </c>
      <c r="B61">
        <v>5795.7770206762725</v>
      </c>
      <c r="C61">
        <v>-131.77702067627251</v>
      </c>
    </row>
    <row r="62" spans="1:3" x14ac:dyDescent="0.3">
      <c r="A62">
        <v>35</v>
      </c>
      <c r="B62">
        <v>4839.6275129621372</v>
      </c>
      <c r="C62">
        <v>567.37248703786281</v>
      </c>
    </row>
    <row r="63" spans="1:3" x14ac:dyDescent="0.3">
      <c r="A63">
        <v>36</v>
      </c>
      <c r="B63">
        <v>5689.0634615986683</v>
      </c>
      <c r="C63">
        <v>202.93653840133175</v>
      </c>
    </row>
    <row r="64" spans="1:3" x14ac:dyDescent="0.3">
      <c r="A64">
        <v>37</v>
      </c>
      <c r="B64">
        <v>2476.6063327269044</v>
      </c>
      <c r="C64">
        <v>-219.60633272690438</v>
      </c>
    </row>
    <row r="65" spans="1:3" x14ac:dyDescent="0.3">
      <c r="A65">
        <v>38</v>
      </c>
      <c r="B65">
        <v>4143.6205754870134</v>
      </c>
      <c r="C65">
        <v>382.37942451298659</v>
      </c>
    </row>
    <row r="66" spans="1:3" x14ac:dyDescent="0.3">
      <c r="A66">
        <v>39</v>
      </c>
      <c r="B66">
        <v>3177.5523552959821</v>
      </c>
      <c r="C66">
        <v>395.44764470401788</v>
      </c>
    </row>
    <row r="67" spans="1:3" x14ac:dyDescent="0.3">
      <c r="A67">
        <v>40</v>
      </c>
      <c r="B67">
        <v>3034.7242488360394</v>
      </c>
      <c r="C67">
        <v>159.27575116396065</v>
      </c>
    </row>
    <row r="68" spans="1:3" x14ac:dyDescent="0.3">
      <c r="A68">
        <v>41</v>
      </c>
      <c r="B68">
        <v>6620.5229386801675</v>
      </c>
      <c r="C68">
        <v>1424.4770613198325</v>
      </c>
    </row>
    <row r="69" spans="1:3" x14ac:dyDescent="0.3">
      <c r="A69">
        <v>42</v>
      </c>
      <c r="B69">
        <v>5794.0353609386384</v>
      </c>
      <c r="C69">
        <v>-149.03536093863841</v>
      </c>
    </row>
    <row r="70" spans="1:3" x14ac:dyDescent="0.3">
      <c r="A70">
        <v>43</v>
      </c>
      <c r="B70">
        <v>2710.0046509976446</v>
      </c>
      <c r="C70">
        <v>-771.0046509976446</v>
      </c>
    </row>
    <row r="71" spans="1:3" x14ac:dyDescent="0.3">
      <c r="A71">
        <v>44</v>
      </c>
      <c r="B71">
        <v>5212.1798996524085</v>
      </c>
      <c r="C71">
        <v>555.82010034759151</v>
      </c>
    </row>
    <row r="72" spans="1:3" x14ac:dyDescent="0.3">
      <c r="A72">
        <v>45</v>
      </c>
      <c r="B72">
        <v>6655.0677080118503</v>
      </c>
      <c r="C72">
        <v>811.9322919881497</v>
      </c>
    </row>
    <row r="73" spans="1:3" x14ac:dyDescent="0.3">
      <c r="A73">
        <v>46</v>
      </c>
      <c r="B73">
        <v>6351.1355848190406</v>
      </c>
      <c r="C73">
        <v>118.86441518095944</v>
      </c>
    </row>
    <row r="74" spans="1:3" x14ac:dyDescent="0.3">
      <c r="A74">
        <v>47</v>
      </c>
      <c r="B74">
        <v>3675.5244541258467</v>
      </c>
      <c r="C74">
        <v>-430.52445412584666</v>
      </c>
    </row>
    <row r="75" spans="1:3" x14ac:dyDescent="0.3">
      <c r="A75">
        <v>48</v>
      </c>
      <c r="B75">
        <v>3158.0680342291785</v>
      </c>
      <c r="C75">
        <v>55.931965770821535</v>
      </c>
    </row>
    <row r="76" spans="1:3" x14ac:dyDescent="0.3">
      <c r="A76">
        <v>49</v>
      </c>
      <c r="B76">
        <v>3143.0075859642993</v>
      </c>
      <c r="C76">
        <v>195.99241403570068</v>
      </c>
    </row>
    <row r="77" spans="1:3" x14ac:dyDescent="0.3">
      <c r="A77">
        <v>50</v>
      </c>
      <c r="B77">
        <v>3335.0819785277754</v>
      </c>
      <c r="C77">
        <v>263.91802147222461</v>
      </c>
    </row>
    <row r="78" spans="1:3" x14ac:dyDescent="0.3">
      <c r="A78">
        <v>51</v>
      </c>
      <c r="B78">
        <v>5768.9187562760308</v>
      </c>
      <c r="C78">
        <v>747.08124372396924</v>
      </c>
    </row>
    <row r="79" spans="1:3" x14ac:dyDescent="0.3">
      <c r="A79">
        <v>52</v>
      </c>
      <c r="B79">
        <v>7258.072011200441</v>
      </c>
      <c r="C79">
        <v>-163.07201120044101</v>
      </c>
    </row>
    <row r="80" spans="1:3" x14ac:dyDescent="0.3">
      <c r="A80">
        <v>53</v>
      </c>
      <c r="B80">
        <v>8067.693507161609</v>
      </c>
      <c r="C80">
        <v>535.30649283839102</v>
      </c>
    </row>
    <row r="81" spans="1:3" x14ac:dyDescent="0.3">
      <c r="A81">
        <v>54</v>
      </c>
      <c r="B81">
        <v>6533.7510437063902</v>
      </c>
      <c r="C81">
        <v>551.24895629360981</v>
      </c>
    </row>
    <row r="82" spans="1:3" x14ac:dyDescent="0.3">
      <c r="A82">
        <v>55</v>
      </c>
      <c r="B82">
        <v>5356.5777841630088</v>
      </c>
      <c r="C82">
        <v>-274.5777841630088</v>
      </c>
    </row>
    <row r="83" spans="1:3" x14ac:dyDescent="0.3">
      <c r="A83">
        <v>56</v>
      </c>
      <c r="B83">
        <v>2501.0334076467566</v>
      </c>
      <c r="C83">
        <v>-171.03340764675659</v>
      </c>
    </row>
    <row r="84" spans="1:3" x14ac:dyDescent="0.3">
      <c r="A84">
        <v>57</v>
      </c>
      <c r="B84">
        <v>6278.9064900543608</v>
      </c>
      <c r="C84">
        <v>-558.9064900543608</v>
      </c>
    </row>
    <row r="85" spans="1:3" x14ac:dyDescent="0.3">
      <c r="A85">
        <v>58</v>
      </c>
      <c r="B85">
        <v>3248.2461097761475</v>
      </c>
      <c r="C85">
        <v>-560.24610977614748</v>
      </c>
    </row>
    <row r="86" spans="1:3" x14ac:dyDescent="0.3">
      <c r="A86">
        <v>59</v>
      </c>
      <c r="B86">
        <v>4131.4486597395471</v>
      </c>
      <c r="C86">
        <v>234.55134026045289</v>
      </c>
    </row>
    <row r="87" spans="1:3" x14ac:dyDescent="0.3">
      <c r="A87">
        <v>60</v>
      </c>
      <c r="B87">
        <v>4338.9756368317294</v>
      </c>
      <c r="C87">
        <v>31.024363168270611</v>
      </c>
    </row>
    <row r="88" spans="1:3" x14ac:dyDescent="0.3">
      <c r="A88">
        <v>61</v>
      </c>
      <c r="B88">
        <v>5855.2701817426787</v>
      </c>
      <c r="C88">
        <v>358.72981825732131</v>
      </c>
    </row>
    <row r="89" spans="1:3" x14ac:dyDescent="0.3">
      <c r="A89">
        <v>62</v>
      </c>
      <c r="B89">
        <v>4892.9670736178668</v>
      </c>
      <c r="C89">
        <v>-344.96707361786684</v>
      </c>
    </row>
    <row r="90" spans="1:3" x14ac:dyDescent="0.3">
      <c r="A90">
        <v>63</v>
      </c>
      <c r="B90">
        <v>2751.35934571196</v>
      </c>
      <c r="C90">
        <v>-488.35934571196003</v>
      </c>
    </row>
    <row r="91" spans="1:3" x14ac:dyDescent="0.3">
      <c r="A91">
        <v>64</v>
      </c>
      <c r="B91">
        <v>4317.0105203993171</v>
      </c>
      <c r="C91">
        <v>-476.0105203993171</v>
      </c>
    </row>
    <row r="92" spans="1:3" x14ac:dyDescent="0.3">
      <c r="A92">
        <v>65</v>
      </c>
      <c r="B92">
        <v>3930.7894772850059</v>
      </c>
      <c r="C92">
        <v>336.21052271499411</v>
      </c>
    </row>
    <row r="93" spans="1:3" x14ac:dyDescent="0.3">
      <c r="A93">
        <v>66</v>
      </c>
      <c r="B93">
        <v>8083.1153226832648</v>
      </c>
      <c r="C93">
        <v>-312.11532268326482</v>
      </c>
    </row>
    <row r="94" spans="1:3" x14ac:dyDescent="0.3">
      <c r="A94">
        <v>67</v>
      </c>
      <c r="B94">
        <v>2965.5399673877732</v>
      </c>
      <c r="C94">
        <v>456.46003261222677</v>
      </c>
    </row>
    <row r="95" spans="1:3" x14ac:dyDescent="0.3">
      <c r="A95">
        <v>68</v>
      </c>
      <c r="B95">
        <v>5350.003714245202</v>
      </c>
      <c r="C95">
        <v>163.99628575479801</v>
      </c>
    </row>
    <row r="96" spans="1:3" x14ac:dyDescent="0.3">
      <c r="A96">
        <v>69</v>
      </c>
      <c r="B96">
        <v>4374.7595859643416</v>
      </c>
      <c r="C96">
        <v>32.240414035658432</v>
      </c>
    </row>
    <row r="97" spans="1:3" x14ac:dyDescent="0.3">
      <c r="A97">
        <v>70</v>
      </c>
      <c r="B97">
        <v>7110.3971266676945</v>
      </c>
      <c r="C97">
        <v>-248.39712666769447</v>
      </c>
    </row>
    <row r="98" spans="1:3" x14ac:dyDescent="0.3">
      <c r="A98">
        <v>71</v>
      </c>
      <c r="B98">
        <v>5396.0345383406893</v>
      </c>
      <c r="C98">
        <v>-704.03453834068932</v>
      </c>
    </row>
    <row r="99" spans="1:3" x14ac:dyDescent="0.3">
      <c r="A99">
        <v>72</v>
      </c>
      <c r="B99">
        <v>5300.4908036697925</v>
      </c>
      <c r="C99">
        <v>-342.49080366979251</v>
      </c>
    </row>
    <row r="100" spans="1:3" x14ac:dyDescent="0.3">
      <c r="A100">
        <v>73</v>
      </c>
      <c r="B100">
        <v>4923.418568397351</v>
      </c>
      <c r="C100">
        <v>182.58143160264899</v>
      </c>
    </row>
    <row r="101" spans="1:3" x14ac:dyDescent="0.3">
      <c r="A101">
        <v>74</v>
      </c>
      <c r="B101">
        <v>8687.5306873597638</v>
      </c>
      <c r="C101">
        <v>668.46931264023624</v>
      </c>
    </row>
    <row r="102" spans="1:3" x14ac:dyDescent="0.3">
      <c r="A102">
        <v>75</v>
      </c>
      <c r="B102">
        <v>6807.3571839116676</v>
      </c>
      <c r="C102">
        <v>352.64281608833244</v>
      </c>
    </row>
    <row r="103" spans="1:3" x14ac:dyDescent="0.3">
      <c r="A103">
        <v>76</v>
      </c>
      <c r="B103">
        <v>3967.8946166481214</v>
      </c>
      <c r="C103">
        <v>-345.89461664812143</v>
      </c>
    </row>
    <row r="104" spans="1:3" x14ac:dyDescent="0.3">
      <c r="A104">
        <v>77</v>
      </c>
      <c r="B104">
        <v>5866.9884232122167</v>
      </c>
      <c r="C104">
        <v>1241.0115767877833</v>
      </c>
    </row>
    <row r="105" spans="1:3" x14ac:dyDescent="0.3">
      <c r="A105">
        <v>78</v>
      </c>
      <c r="B105">
        <v>4848.9597018509658</v>
      </c>
      <c r="C105">
        <v>-771.95970185096576</v>
      </c>
    </row>
    <row r="106" spans="1:3" x14ac:dyDescent="0.3">
      <c r="A106">
        <v>79</v>
      </c>
      <c r="B106">
        <v>4450.3001185173107</v>
      </c>
      <c r="C106">
        <v>-55.300118517310693</v>
      </c>
    </row>
    <row r="107" spans="1:3" x14ac:dyDescent="0.3">
      <c r="A107">
        <v>80</v>
      </c>
      <c r="B107">
        <v>5464.7651455110235</v>
      </c>
      <c r="C107">
        <v>-167.76514551102355</v>
      </c>
    </row>
    <row r="108" spans="1:3" x14ac:dyDescent="0.3">
      <c r="A108">
        <v>81</v>
      </c>
      <c r="B108">
        <v>5618.1682894198211</v>
      </c>
      <c r="C108">
        <v>9.8317105801788784</v>
      </c>
    </row>
    <row r="109" spans="1:3" x14ac:dyDescent="0.3">
      <c r="A109">
        <v>82</v>
      </c>
      <c r="B109">
        <v>5629.4328566114291</v>
      </c>
      <c r="C109">
        <v>-14.432856611429088</v>
      </c>
    </row>
    <row r="110" spans="1:3" x14ac:dyDescent="0.3">
      <c r="A110">
        <v>83</v>
      </c>
      <c r="B110">
        <v>5744.0380070782503</v>
      </c>
      <c r="C110">
        <v>-620.0380070782503</v>
      </c>
    </row>
    <row r="111" spans="1:3" x14ac:dyDescent="0.3">
      <c r="A111">
        <v>84</v>
      </c>
      <c r="B111">
        <v>3641.9973770228985</v>
      </c>
      <c r="C111">
        <v>12.00262297710151</v>
      </c>
    </row>
    <row r="112" spans="1:3" x14ac:dyDescent="0.3">
      <c r="A112">
        <v>85</v>
      </c>
      <c r="B112">
        <v>5771.4446885413199</v>
      </c>
      <c r="C112">
        <v>31.55531145868008</v>
      </c>
    </row>
    <row r="113" spans="1:3" x14ac:dyDescent="0.3">
      <c r="A113">
        <v>86</v>
      </c>
      <c r="B113">
        <v>5879.3014516396097</v>
      </c>
      <c r="C113">
        <v>517.6985483603903</v>
      </c>
    </row>
    <row r="114" spans="1:3" x14ac:dyDescent="0.3">
      <c r="A114">
        <v>87</v>
      </c>
      <c r="B114">
        <v>5647.7395358914046</v>
      </c>
      <c r="C114">
        <v>-80.739535891404557</v>
      </c>
    </row>
    <row r="115" spans="1:3" x14ac:dyDescent="0.3">
      <c r="A115">
        <v>88</v>
      </c>
      <c r="B115">
        <v>8354.8235223519059</v>
      </c>
      <c r="C115">
        <v>-171.82352235190592</v>
      </c>
    </row>
    <row r="116" spans="1:3" x14ac:dyDescent="0.3">
      <c r="A116">
        <v>89</v>
      </c>
      <c r="B116">
        <v>4802.3353237929687</v>
      </c>
      <c r="C116">
        <v>-37.335323792968666</v>
      </c>
    </row>
    <row r="117" spans="1:3" x14ac:dyDescent="0.3">
      <c r="A117">
        <v>90</v>
      </c>
      <c r="B117">
        <v>4025.3914256338994</v>
      </c>
      <c r="C117">
        <v>305.60857436610058</v>
      </c>
    </row>
    <row r="118" spans="1:3" x14ac:dyDescent="0.3">
      <c r="A118">
        <v>91</v>
      </c>
      <c r="B118">
        <v>3700.4052033236276</v>
      </c>
      <c r="C118">
        <v>-241.40520332362757</v>
      </c>
    </row>
    <row r="119" spans="1:3" x14ac:dyDescent="0.3">
      <c r="A119">
        <v>92</v>
      </c>
      <c r="B119">
        <v>3369.565209845357</v>
      </c>
      <c r="C119">
        <v>52.434790154642997</v>
      </c>
    </row>
    <row r="120" spans="1:3" x14ac:dyDescent="0.3">
      <c r="A120">
        <v>93</v>
      </c>
      <c r="B120">
        <v>5341.0636616202</v>
      </c>
      <c r="C120">
        <v>13.936338379799963</v>
      </c>
    </row>
    <row r="121" spans="1:3" x14ac:dyDescent="0.3">
      <c r="A121">
        <v>94</v>
      </c>
      <c r="B121">
        <v>3025.6894534261369</v>
      </c>
      <c r="C121">
        <v>-439.68945342613688</v>
      </c>
    </row>
    <row r="122" spans="1:3" x14ac:dyDescent="0.3">
      <c r="A122">
        <v>95</v>
      </c>
      <c r="B122">
        <v>4186.4503054670859</v>
      </c>
      <c r="C122">
        <v>225.54969453291415</v>
      </c>
    </row>
    <row r="123" spans="1:3" x14ac:dyDescent="0.3">
      <c r="A123">
        <v>96</v>
      </c>
      <c r="B123">
        <v>4185.9621934230136</v>
      </c>
      <c r="C123">
        <v>-220.96219342301356</v>
      </c>
    </row>
    <row r="124" spans="1:3" x14ac:dyDescent="0.3">
      <c r="A124">
        <v>97</v>
      </c>
      <c r="B124">
        <v>6294.6256990549446</v>
      </c>
      <c r="C124">
        <v>219.37430094505544</v>
      </c>
    </row>
    <row r="125" spans="1:3" x14ac:dyDescent="0.3">
      <c r="A125">
        <v>98</v>
      </c>
      <c r="B125">
        <v>5407.1735937403455</v>
      </c>
      <c r="C125">
        <v>70.826406259654505</v>
      </c>
    </row>
    <row r="126" spans="1:3" x14ac:dyDescent="0.3">
      <c r="A126">
        <v>99</v>
      </c>
      <c r="B126">
        <v>3072.2830624770845</v>
      </c>
      <c r="C126">
        <v>543.71693752291549</v>
      </c>
    </row>
    <row r="127" spans="1:3" x14ac:dyDescent="0.3">
      <c r="A127">
        <v>100</v>
      </c>
      <c r="B127">
        <v>5771.3499457564203</v>
      </c>
      <c r="C127">
        <v>-251.34994575642031</v>
      </c>
    </row>
    <row r="128" spans="1:3" x14ac:dyDescent="0.3">
      <c r="A128">
        <v>101</v>
      </c>
      <c r="B128">
        <v>4016.4513730088979</v>
      </c>
      <c r="C128">
        <v>339.54862699110208</v>
      </c>
    </row>
    <row r="129" spans="1:3" x14ac:dyDescent="0.3">
      <c r="A129">
        <v>102</v>
      </c>
      <c r="B129">
        <v>2750.9056714340304</v>
      </c>
      <c r="C129">
        <v>418.09432856596959</v>
      </c>
    </row>
    <row r="130" spans="1:3" x14ac:dyDescent="0.3">
      <c r="A130">
        <v>103</v>
      </c>
      <c r="B130">
        <v>3309.809093066166</v>
      </c>
      <c r="C130">
        <v>64.190906933833958</v>
      </c>
    </row>
    <row r="131" spans="1:3" x14ac:dyDescent="0.3">
      <c r="A131">
        <v>104</v>
      </c>
      <c r="B131">
        <v>4921.5821658748173</v>
      </c>
      <c r="C131">
        <v>-309.58216587481729</v>
      </c>
    </row>
    <row r="132" spans="1:3" x14ac:dyDescent="0.3">
      <c r="A132">
        <v>105</v>
      </c>
      <c r="B132">
        <v>7677.9124384388524</v>
      </c>
      <c r="C132">
        <v>324.0875615611476</v>
      </c>
    </row>
    <row r="133" spans="1:3" x14ac:dyDescent="0.3">
      <c r="A133">
        <v>106</v>
      </c>
      <c r="B133">
        <v>2967.4071389173582</v>
      </c>
      <c r="C133">
        <v>-39.407138917358225</v>
      </c>
    </row>
    <row r="134" spans="1:3" x14ac:dyDescent="0.3">
      <c r="A134">
        <v>107</v>
      </c>
      <c r="B134">
        <v>3290.2903342332188</v>
      </c>
      <c r="C134">
        <v>-247.2903342332188</v>
      </c>
    </row>
    <row r="135" spans="1:3" x14ac:dyDescent="0.3">
      <c r="A135">
        <v>108</v>
      </c>
      <c r="B135">
        <v>2730.6973828583273</v>
      </c>
      <c r="C135">
        <v>186.30261714167273</v>
      </c>
    </row>
    <row r="136" spans="1:3" x14ac:dyDescent="0.3">
      <c r="A136">
        <v>109</v>
      </c>
      <c r="B136">
        <v>4145.3622352246484</v>
      </c>
      <c r="C136">
        <v>644.63776477535157</v>
      </c>
    </row>
    <row r="137" spans="1:3" x14ac:dyDescent="0.3">
      <c r="A137">
        <v>110</v>
      </c>
      <c r="B137">
        <v>5327.0516745911063</v>
      </c>
      <c r="C137">
        <v>3.9483254088936519</v>
      </c>
    </row>
    <row r="138" spans="1:3" x14ac:dyDescent="0.3">
      <c r="A138">
        <v>111</v>
      </c>
      <c r="B138">
        <v>5673.6416460770124</v>
      </c>
      <c r="C138">
        <v>-404.64164607701241</v>
      </c>
    </row>
    <row r="139" spans="1:3" x14ac:dyDescent="0.3">
      <c r="A139">
        <v>112</v>
      </c>
      <c r="B139">
        <v>3867.5951779302291</v>
      </c>
      <c r="C139">
        <v>262.40482206977094</v>
      </c>
    </row>
    <row r="140" spans="1:3" x14ac:dyDescent="0.3">
      <c r="A140">
        <v>113</v>
      </c>
      <c r="B140">
        <v>6053.0383959160599</v>
      </c>
      <c r="C140">
        <v>-254.03839591605993</v>
      </c>
    </row>
    <row r="141" spans="1:3" x14ac:dyDescent="0.3">
      <c r="A141">
        <v>114</v>
      </c>
      <c r="B141">
        <v>4293.5252318014673</v>
      </c>
      <c r="C141">
        <v>596.47476819853273</v>
      </c>
    </row>
    <row r="142" spans="1:3" x14ac:dyDescent="0.3">
      <c r="A142">
        <v>115</v>
      </c>
      <c r="B142">
        <v>5262.1501532648399</v>
      </c>
      <c r="C142">
        <v>-436.1501532648399</v>
      </c>
    </row>
    <row r="143" spans="1:3" x14ac:dyDescent="0.3">
      <c r="A143">
        <v>116</v>
      </c>
      <c r="B143">
        <v>8424.0422415663161</v>
      </c>
      <c r="C143">
        <v>-402.04224156631608</v>
      </c>
    </row>
    <row r="144" spans="1:3" x14ac:dyDescent="0.3">
      <c r="A144">
        <v>117</v>
      </c>
      <c r="B144">
        <v>4316.0199284185419</v>
      </c>
      <c r="C144">
        <v>-676.01992841854189</v>
      </c>
    </row>
    <row r="145" spans="1:3" x14ac:dyDescent="0.3">
      <c r="A145">
        <v>118</v>
      </c>
      <c r="B145">
        <v>3454.5646760744507</v>
      </c>
      <c r="C145">
        <v>534.43532392554926</v>
      </c>
    </row>
    <row r="146" spans="1:3" x14ac:dyDescent="0.3">
      <c r="A146">
        <v>119</v>
      </c>
      <c r="B146">
        <v>3544.022452871613</v>
      </c>
      <c r="C146">
        <v>-679.02245287161304</v>
      </c>
    </row>
    <row r="147" spans="1:3" x14ac:dyDescent="0.3">
      <c r="A147">
        <v>120</v>
      </c>
      <c r="B147">
        <v>8040.7097309694163</v>
      </c>
      <c r="C147">
        <v>578.29026903058366</v>
      </c>
    </row>
    <row r="148" spans="1:3" x14ac:dyDescent="0.3">
      <c r="A148">
        <v>121</v>
      </c>
      <c r="B148">
        <v>2796.4791524924949</v>
      </c>
      <c r="C148">
        <v>547.5208475075051</v>
      </c>
    </row>
    <row r="149" spans="1:3" x14ac:dyDescent="0.3">
      <c r="A149">
        <v>122</v>
      </c>
      <c r="B149">
        <v>7142.3544257199874</v>
      </c>
      <c r="C149">
        <v>1573.6455742800126</v>
      </c>
    </row>
    <row r="150" spans="1:3" x14ac:dyDescent="0.3">
      <c r="A150">
        <v>123</v>
      </c>
      <c r="B150">
        <v>4973.1185287788121</v>
      </c>
      <c r="C150">
        <v>-263.11852877881211</v>
      </c>
    </row>
    <row r="151" spans="1:3" x14ac:dyDescent="0.3">
      <c r="A151">
        <v>124</v>
      </c>
      <c r="B151">
        <v>3865.0077076508383</v>
      </c>
      <c r="C151">
        <v>-21.007707650838256</v>
      </c>
    </row>
    <row r="152" spans="1:3" x14ac:dyDescent="0.3">
      <c r="A152">
        <v>125</v>
      </c>
      <c r="B152">
        <v>6437.5485482997892</v>
      </c>
      <c r="C152">
        <v>-268.54854829978922</v>
      </c>
    </row>
    <row r="153" spans="1:3" x14ac:dyDescent="0.3">
      <c r="A153">
        <v>126</v>
      </c>
      <c r="B153">
        <v>6058.5747037316187</v>
      </c>
      <c r="C153">
        <v>409.42529626838132</v>
      </c>
    </row>
    <row r="154" spans="1:3" x14ac:dyDescent="0.3">
      <c r="A154">
        <v>127</v>
      </c>
      <c r="B154">
        <v>8435.306808757925</v>
      </c>
      <c r="C154">
        <v>-1077.306808757925</v>
      </c>
    </row>
    <row r="155" spans="1:3" x14ac:dyDescent="0.3">
      <c r="A155">
        <v>128</v>
      </c>
      <c r="B155">
        <v>4282.7939135536135</v>
      </c>
      <c r="C155">
        <v>385.20608644638651</v>
      </c>
    </row>
    <row r="156" spans="1:3" x14ac:dyDescent="0.3">
      <c r="A156">
        <v>129</v>
      </c>
      <c r="B156">
        <v>5190.3095260048967</v>
      </c>
      <c r="C156">
        <v>404.69047399510328</v>
      </c>
    </row>
    <row r="157" spans="1:3" x14ac:dyDescent="0.3">
      <c r="A157">
        <v>130</v>
      </c>
      <c r="B157">
        <v>4230.1746516476896</v>
      </c>
      <c r="C157">
        <v>-884.17465164768964</v>
      </c>
    </row>
    <row r="158" spans="1:3" x14ac:dyDescent="0.3">
      <c r="A158">
        <v>131</v>
      </c>
      <c r="B158">
        <v>3434.6266807297175</v>
      </c>
      <c r="C158">
        <v>437.37331927028254</v>
      </c>
    </row>
    <row r="159" spans="1:3" x14ac:dyDescent="0.3">
      <c r="A159">
        <v>132</v>
      </c>
      <c r="B159">
        <v>3061.3195575234963</v>
      </c>
      <c r="C159">
        <v>-164.31955752349631</v>
      </c>
    </row>
    <row r="160" spans="1:3" x14ac:dyDescent="0.3">
      <c r="A160">
        <v>133</v>
      </c>
      <c r="B160">
        <v>3421.5257110155749</v>
      </c>
      <c r="C160">
        <v>-66.525711015574871</v>
      </c>
    </row>
    <row r="161" spans="1:3" x14ac:dyDescent="0.3">
      <c r="A161">
        <v>134</v>
      </c>
      <c r="B161">
        <v>4410.4204590687523</v>
      </c>
      <c r="C161">
        <v>558.57954093124772</v>
      </c>
    </row>
    <row r="162" spans="1:3" x14ac:dyDescent="0.3">
      <c r="A162">
        <v>135</v>
      </c>
      <c r="B162">
        <v>3870.3425977677148</v>
      </c>
      <c r="C162">
        <v>-138.34259776771478</v>
      </c>
    </row>
    <row r="163" spans="1:3" x14ac:dyDescent="0.3">
      <c r="A163">
        <v>136</v>
      </c>
      <c r="B163">
        <v>5036.5486835984157</v>
      </c>
      <c r="C163">
        <v>885.45131640158434</v>
      </c>
    </row>
    <row r="164" spans="1:3" x14ac:dyDescent="0.3">
      <c r="A164">
        <v>137</v>
      </c>
      <c r="B164">
        <v>2749.0692689114967</v>
      </c>
      <c r="C164">
        <v>239.93073108850331</v>
      </c>
    </row>
    <row r="165" spans="1:3" x14ac:dyDescent="0.3">
      <c r="A165">
        <v>138</v>
      </c>
      <c r="B165">
        <v>3845.3055677709322</v>
      </c>
      <c r="C165">
        <v>639.69443222906784</v>
      </c>
    </row>
    <row r="166" spans="1:3" x14ac:dyDescent="0.3">
      <c r="A166">
        <v>139</v>
      </c>
      <c r="B166">
        <v>3717.6941903748684</v>
      </c>
      <c r="C166">
        <v>550.30580962513159</v>
      </c>
    </row>
    <row r="167" spans="1:3" x14ac:dyDescent="0.3">
      <c r="A167">
        <v>140</v>
      </c>
      <c r="B167">
        <v>4162.0232305472337</v>
      </c>
      <c r="C167">
        <v>-974.02323054723365</v>
      </c>
    </row>
    <row r="168" spans="1:3" x14ac:dyDescent="0.3">
      <c r="A168">
        <v>141</v>
      </c>
      <c r="B168">
        <v>5474.429165644925</v>
      </c>
      <c r="C168">
        <v>362.57083435507502</v>
      </c>
    </row>
    <row r="169" spans="1:3" x14ac:dyDescent="0.3">
      <c r="A169">
        <v>142</v>
      </c>
      <c r="B169">
        <v>4452.5901953177736</v>
      </c>
      <c r="C169">
        <v>-308.59019531777358</v>
      </c>
    </row>
    <row r="170" spans="1:3" x14ac:dyDescent="0.3">
      <c r="A170">
        <v>143</v>
      </c>
      <c r="B170">
        <v>2608.1391029881884</v>
      </c>
      <c r="C170">
        <v>658.86089701181163</v>
      </c>
    </row>
    <row r="171" spans="1:3" x14ac:dyDescent="0.3">
      <c r="A171">
        <v>144</v>
      </c>
      <c r="B171">
        <v>3672.964084094413</v>
      </c>
      <c r="C171">
        <v>119.03591590558699</v>
      </c>
    </row>
    <row r="172" spans="1:3" x14ac:dyDescent="0.3">
      <c r="A172">
        <v>145</v>
      </c>
      <c r="B172">
        <v>4302.8610894493895</v>
      </c>
      <c r="C172">
        <v>53.13891055061049</v>
      </c>
    </row>
    <row r="173" spans="1:3" x14ac:dyDescent="0.3">
      <c r="A173">
        <v>146</v>
      </c>
      <c r="B173">
        <v>5664.7015934520105</v>
      </c>
      <c r="C173">
        <v>-505.70159345201046</v>
      </c>
    </row>
    <row r="174" spans="1:3" x14ac:dyDescent="0.3">
      <c r="A174">
        <v>147</v>
      </c>
      <c r="B174">
        <v>3277.7902559997729</v>
      </c>
      <c r="C174">
        <v>-32.790255999772853</v>
      </c>
    </row>
    <row r="175" spans="1:3" x14ac:dyDescent="0.3">
      <c r="A175">
        <v>148</v>
      </c>
      <c r="B175">
        <v>6792.5941291257159</v>
      </c>
      <c r="C175">
        <v>-98.594129125715881</v>
      </c>
    </row>
    <row r="176" spans="1:3" x14ac:dyDescent="0.3">
      <c r="A176">
        <v>149</v>
      </c>
      <c r="B176">
        <v>3927.7483327276855</v>
      </c>
      <c r="C176">
        <v>152.25166727231453</v>
      </c>
    </row>
    <row r="177" spans="1:3" ht="15" thickBot="1" x14ac:dyDescent="0.35">
      <c r="A177" s="4">
        <v>150</v>
      </c>
      <c r="B177" s="4">
        <v>3434.2037754588387</v>
      </c>
      <c r="C177" s="4">
        <v>-435.20377545883866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4753-1B2A-4666-BD52-BCA9720CB876}">
  <dimension ref="A1:C14"/>
  <sheetViews>
    <sheetView workbookViewId="0">
      <selection activeCell="F26" sqref="F26"/>
    </sheetView>
  </sheetViews>
  <sheetFormatPr defaultRowHeight="14.4" x14ac:dyDescent="0.3"/>
  <cols>
    <col min="1" max="1" width="28.109375" customWidth="1"/>
    <col min="2" max="2" width="15.6640625" customWidth="1"/>
    <col min="3" max="3" width="15.88671875" customWidth="1"/>
  </cols>
  <sheetData>
    <row r="1" spans="1:3" x14ac:dyDescent="0.3">
      <c r="A1" t="s">
        <v>116</v>
      </c>
    </row>
    <row r="2" spans="1:3" ht="15" thickBot="1" x14ac:dyDescent="0.35"/>
    <row r="3" spans="1:3" x14ac:dyDescent="0.3">
      <c r="A3" s="5"/>
      <c r="B3" s="5" t="s">
        <v>9</v>
      </c>
      <c r="C3" s="5" t="s">
        <v>8</v>
      </c>
    </row>
    <row r="4" spans="1:3" x14ac:dyDescent="0.3">
      <c r="A4" t="s">
        <v>81</v>
      </c>
      <c r="B4">
        <v>74.680000000000007</v>
      </c>
      <c r="C4">
        <v>69.213333333333338</v>
      </c>
    </row>
    <row r="5" spans="1:3" x14ac:dyDescent="0.3">
      <c r="A5" t="s">
        <v>117</v>
      </c>
      <c r="B5">
        <v>96.876778523490032</v>
      </c>
      <c r="C5">
        <v>89.913914988814355</v>
      </c>
    </row>
    <row r="6" spans="1:3" x14ac:dyDescent="0.3">
      <c r="A6" t="s">
        <v>94</v>
      </c>
      <c r="B6">
        <v>150</v>
      </c>
      <c r="C6">
        <v>150</v>
      </c>
    </row>
    <row r="7" spans="1:3" x14ac:dyDescent="0.3">
      <c r="A7" t="s">
        <v>118</v>
      </c>
      <c r="B7">
        <v>0.95937109676348009</v>
      </c>
    </row>
    <row r="8" spans="1:3" x14ac:dyDescent="0.3">
      <c r="A8" t="s">
        <v>119</v>
      </c>
      <c r="B8">
        <v>0</v>
      </c>
    </row>
    <row r="9" spans="1:3" x14ac:dyDescent="0.3">
      <c r="A9" t="s">
        <v>100</v>
      </c>
      <c r="B9">
        <v>149</v>
      </c>
    </row>
    <row r="10" spans="1:3" x14ac:dyDescent="0.3">
      <c r="A10" t="s">
        <v>106</v>
      </c>
      <c r="B10">
        <v>24.106732892817753</v>
      </c>
    </row>
    <row r="11" spans="1:3" x14ac:dyDescent="0.3">
      <c r="A11" t="s">
        <v>120</v>
      </c>
      <c r="B11">
        <v>1.3844492251729054E-53</v>
      </c>
    </row>
    <row r="12" spans="1:3" x14ac:dyDescent="0.3">
      <c r="A12" t="s">
        <v>121</v>
      </c>
      <c r="B12">
        <v>1.6551445337979596</v>
      </c>
    </row>
    <row r="13" spans="1:3" x14ac:dyDescent="0.3">
      <c r="A13" t="s">
        <v>122</v>
      </c>
      <c r="B13">
        <v>2.7688984503458108E-53</v>
      </c>
    </row>
    <row r="14" spans="1:3" ht="15" thickBot="1" x14ac:dyDescent="0.35">
      <c r="A14" s="4" t="s">
        <v>123</v>
      </c>
      <c r="B14" s="4">
        <v>1.976013177689196</v>
      </c>
      <c r="C14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5E2F-7C27-4080-931D-688323CA3A9C}">
  <dimension ref="A3:D22"/>
  <sheetViews>
    <sheetView workbookViewId="0">
      <selection activeCell="F22" sqref="F22"/>
    </sheetView>
  </sheetViews>
  <sheetFormatPr defaultRowHeight="14.4" x14ac:dyDescent="0.3"/>
  <cols>
    <col min="1" max="1" width="18.44140625" bestFit="1" customWidth="1"/>
    <col min="2" max="2" width="15.5546875" bestFit="1" customWidth="1"/>
    <col min="3" max="3" width="3" bestFit="1" customWidth="1"/>
    <col min="4" max="4" width="10.77734375" bestFit="1" customWidth="1"/>
  </cols>
  <sheetData>
    <row r="3" spans="1:4" x14ac:dyDescent="0.3">
      <c r="A3" s="7" t="s">
        <v>137</v>
      </c>
      <c r="B3" s="7" t="s">
        <v>138</v>
      </c>
    </row>
    <row r="4" spans="1:4" x14ac:dyDescent="0.3">
      <c r="A4" s="7" t="s">
        <v>134</v>
      </c>
      <c r="B4">
        <v>0</v>
      </c>
      <c r="C4">
        <v>1</v>
      </c>
      <c r="D4" t="s">
        <v>135</v>
      </c>
    </row>
    <row r="5" spans="1:4" x14ac:dyDescent="0.3">
      <c r="A5" s="8" t="s">
        <v>13</v>
      </c>
      <c r="B5" s="14">
        <v>49</v>
      </c>
      <c r="C5" s="14">
        <v>24</v>
      </c>
      <c r="D5" s="14">
        <v>73</v>
      </c>
    </row>
    <row r="6" spans="1:4" x14ac:dyDescent="0.3">
      <c r="A6" s="8" t="s">
        <v>14</v>
      </c>
      <c r="B6" s="14">
        <v>32</v>
      </c>
      <c r="C6" s="14">
        <v>45</v>
      </c>
      <c r="D6" s="14">
        <v>77</v>
      </c>
    </row>
    <row r="7" spans="1:4" x14ac:dyDescent="0.3">
      <c r="A7" s="8" t="s">
        <v>135</v>
      </c>
      <c r="B7" s="14">
        <v>81</v>
      </c>
      <c r="C7" s="14">
        <v>69</v>
      </c>
      <c r="D7" s="14">
        <v>150</v>
      </c>
    </row>
    <row r="9" spans="1:4" x14ac:dyDescent="0.3">
      <c r="A9" s="8"/>
      <c r="B9" t="s">
        <v>139</v>
      </c>
    </row>
    <row r="10" spans="1:4" x14ac:dyDescent="0.3">
      <c r="A10" s="8" t="s">
        <v>13</v>
      </c>
      <c r="B10">
        <f>GETPIVOTDATA("[Measures].[Count of Conversion]",$A$3,"[Range].[Website_Group]","[Range].[Website_Group].&amp;[A]","[Range].[Conversion]","[Range].[Conversion].&amp;[1]")/GETPIVOTDATA("[Measures].[Count of Conversion]",$A$3,"[Range].[Website_Group]","[Range].[Website_Group].&amp;[A]")</f>
        <v>0.32876712328767121</v>
      </c>
      <c r="C10">
        <v>33</v>
      </c>
    </row>
    <row r="11" spans="1:4" x14ac:dyDescent="0.3">
      <c r="A11" s="8" t="s">
        <v>14</v>
      </c>
      <c r="B11">
        <f>GETPIVOTDATA("[Measures].[Count of Conversion]",$A$3,"[Range].[Website_Group]","[Range].[Website_Group].&amp;[B]","[Range].[Conversion]","[Range].[Conversion].&amp;[1]")/GETPIVOTDATA("[Measures].[Count of Conversion]",$A$3,"[Range].[Website_Group]","[Range].[Website_Group].&amp;[B]")</f>
        <v>0.58441558441558439</v>
      </c>
      <c r="C11">
        <v>58</v>
      </c>
    </row>
    <row r="12" spans="1:4" x14ac:dyDescent="0.3">
      <c r="A12" s="8" t="s">
        <v>140</v>
      </c>
      <c r="C12">
        <f>C11-C10</f>
        <v>25</v>
      </c>
    </row>
    <row r="14" spans="1:4" x14ac:dyDescent="0.3">
      <c r="A14" s="8" t="s">
        <v>141</v>
      </c>
      <c r="B14">
        <v>0</v>
      </c>
      <c r="C14">
        <v>1</v>
      </c>
    </row>
    <row r="15" spans="1:4" x14ac:dyDescent="0.3">
      <c r="A15" s="8" t="s">
        <v>13</v>
      </c>
      <c r="B15">
        <f>GETPIVOTDATA("[Measures].[Count of Conversion]",$A$3,"[Range].[Website_Group]","[Range].[Website_Group].&amp;[A]")*GETPIVOTDATA("[Measures].[Count of Conversion]",$A$3,"[Range].[Conversion]","[Range].[Conversion].&amp;[0]")/GETPIVOTDATA("[Measures].[Count of Conversion]",$A$3)</f>
        <v>39.42</v>
      </c>
      <c r="C15">
        <f>GETPIVOTDATA("[Measures].[Count of Conversion]",$A$3,"[Range].[Website_Group]","[Range].[Website_Group].&amp;[A]")*GETPIVOTDATA("[Measures].[Count of Conversion]",$A$3,"[Range].[Conversion]","[Range].[Conversion].&amp;[1]")/GETPIVOTDATA("[Measures].[Count of Conversion]",$A$3)</f>
        <v>33.58</v>
      </c>
    </row>
    <row r="16" spans="1:4" x14ac:dyDescent="0.3">
      <c r="A16" s="8" t="s">
        <v>14</v>
      </c>
      <c r="B16">
        <f>GETPIVOTDATA("[Measures].[Count of Conversion]",$A$3,"[Range].[Website_Group]","[Range].[Website_Group].&amp;[B]")*GETPIVOTDATA("[Measures].[Count of Conversion]",$A$3,"[Range].[Conversion]","[Range].[Conversion].&amp;[0]")/GETPIVOTDATA("[Measures].[Count of Conversion]",$A$3)</f>
        <v>41.58</v>
      </c>
      <c r="C16">
        <f>GETPIVOTDATA("[Measures].[Count of Conversion]",$A$3,"[Range].[Website_Group]","[Range].[Website_Group].&amp;[B]")*GETPIVOTDATA("[Measures].[Count of Conversion]",$A$3,"[Range].[Conversion]","[Range].[Conversion].&amp;[1]")/GETPIVOTDATA("[Measures].[Count of Conversion]",$A$3)</f>
        <v>35.42</v>
      </c>
    </row>
    <row r="18" spans="1:2" x14ac:dyDescent="0.3">
      <c r="A18" t="s">
        <v>142</v>
      </c>
      <c r="B18">
        <f>_xlfn.CHISQ.TEST(B5:C6, B10:C11)</f>
        <v>0</v>
      </c>
    </row>
    <row r="19" spans="1:2" x14ac:dyDescent="0.3">
      <c r="A19" s="8"/>
    </row>
    <row r="20" spans="1:2" x14ac:dyDescent="0.3">
      <c r="A20" s="8"/>
    </row>
    <row r="21" spans="1:2" x14ac:dyDescent="0.3">
      <c r="A21" s="8"/>
    </row>
    <row r="22" spans="1:2" x14ac:dyDescent="0.3">
      <c r="A22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6440-3289-4DAD-BD79-7F8DC834BF4A}">
  <dimension ref="A1:Q152"/>
  <sheetViews>
    <sheetView zoomScale="86" workbookViewId="0">
      <selection activeCell="L27" sqref="L27"/>
    </sheetView>
  </sheetViews>
  <sheetFormatPr defaultRowHeight="14.4" x14ac:dyDescent="0.3"/>
  <cols>
    <col min="1" max="1" width="12" customWidth="1"/>
    <col min="2" max="2" width="19" customWidth="1"/>
    <col min="10" max="10" width="0.109375" customWidth="1"/>
    <col min="11" max="11" width="18.109375" customWidth="1"/>
  </cols>
  <sheetData>
    <row r="1" spans="1:17" x14ac:dyDescent="0.3">
      <c r="D1" s="2" t="s">
        <v>12</v>
      </c>
      <c r="E1" s="2" t="s">
        <v>15</v>
      </c>
      <c r="F1" s="2" t="s">
        <v>16</v>
      </c>
    </row>
    <row r="2" spans="1:17" x14ac:dyDescent="0.3">
      <c r="A2" s="1" t="s">
        <v>5</v>
      </c>
      <c r="B2" s="1" t="s">
        <v>7</v>
      </c>
      <c r="D2" cm="1">
        <f t="array" ref="D2:D54">_xlfn._xlws.FILTER($B$3:$B$201,$A$3:$A$201="Sales")</f>
        <v>65</v>
      </c>
      <c r="E2" cm="1">
        <f t="array" ref="E2:E51">_xlfn._xlws.FILTER($B$3:$B$201,$A$3:$A$201="HR")</f>
        <v>62</v>
      </c>
      <c r="F2" cm="1">
        <f t="array" ref="F2:F48">_xlfn._xlws.FILTER($B$3:$B$201,$A$3:$A$201="IT")</f>
        <v>60</v>
      </c>
      <c r="K2" t="s">
        <v>124</v>
      </c>
    </row>
    <row r="3" spans="1:17" x14ac:dyDescent="0.3">
      <c r="A3" t="s">
        <v>12</v>
      </c>
      <c r="B3">
        <v>65</v>
      </c>
      <c r="D3">
        <v>83</v>
      </c>
      <c r="E3">
        <v>67</v>
      </c>
      <c r="F3">
        <v>66</v>
      </c>
    </row>
    <row r="4" spans="1:17" ht="15" thickBot="1" x14ac:dyDescent="0.35">
      <c r="A4" t="s">
        <v>12</v>
      </c>
      <c r="B4">
        <v>83</v>
      </c>
      <c r="D4">
        <v>81</v>
      </c>
      <c r="E4">
        <v>58</v>
      </c>
      <c r="F4">
        <v>76</v>
      </c>
      <c r="K4" t="s">
        <v>125</v>
      </c>
    </row>
    <row r="5" spans="1:17" x14ac:dyDescent="0.3">
      <c r="A5" t="s">
        <v>15</v>
      </c>
      <c r="B5">
        <v>62</v>
      </c>
      <c r="D5">
        <v>70</v>
      </c>
      <c r="E5">
        <v>70</v>
      </c>
      <c r="F5">
        <v>82</v>
      </c>
      <c r="K5" s="5" t="s">
        <v>126</v>
      </c>
      <c r="L5" s="5" t="s">
        <v>127</v>
      </c>
      <c r="M5" s="5" t="s">
        <v>128</v>
      </c>
      <c r="N5" s="5" t="s">
        <v>129</v>
      </c>
      <c r="O5" s="5" t="s">
        <v>117</v>
      </c>
    </row>
    <row r="6" spans="1:17" x14ac:dyDescent="0.3">
      <c r="A6" t="s">
        <v>12</v>
      </c>
      <c r="B6">
        <v>81</v>
      </c>
      <c r="D6">
        <v>72</v>
      </c>
      <c r="E6">
        <v>70</v>
      </c>
      <c r="F6">
        <v>80</v>
      </c>
      <c r="K6" t="s">
        <v>12</v>
      </c>
      <c r="L6">
        <v>53</v>
      </c>
      <c r="M6">
        <v>3846</v>
      </c>
      <c r="N6">
        <v>72.566037735849051</v>
      </c>
      <c r="O6">
        <v>89.750362844702281</v>
      </c>
    </row>
    <row r="7" spans="1:17" x14ac:dyDescent="0.3">
      <c r="A7" t="s">
        <v>12</v>
      </c>
      <c r="B7">
        <v>70</v>
      </c>
      <c r="D7">
        <v>66</v>
      </c>
      <c r="E7">
        <v>72</v>
      </c>
      <c r="F7">
        <v>72</v>
      </c>
      <c r="K7" t="s">
        <v>15</v>
      </c>
      <c r="L7">
        <v>50</v>
      </c>
      <c r="M7">
        <v>3623</v>
      </c>
      <c r="N7">
        <v>72.459999999999994</v>
      </c>
      <c r="O7">
        <v>77.559591836734356</v>
      </c>
    </row>
    <row r="8" spans="1:17" ht="15" thickBot="1" x14ac:dyDescent="0.35">
      <c r="A8" t="s">
        <v>12</v>
      </c>
      <c r="B8">
        <v>72</v>
      </c>
      <c r="D8">
        <v>68</v>
      </c>
      <c r="E8">
        <v>59</v>
      </c>
      <c r="F8">
        <v>79</v>
      </c>
      <c r="K8" s="4" t="s">
        <v>16</v>
      </c>
      <c r="L8" s="4">
        <v>47</v>
      </c>
      <c r="M8" s="4">
        <v>3349</v>
      </c>
      <c r="N8" s="4">
        <v>71.255319148936167</v>
      </c>
      <c r="O8" s="4">
        <v>106.49861239592998</v>
      </c>
    </row>
    <row r="9" spans="1:17" x14ac:dyDescent="0.3">
      <c r="A9" t="s">
        <v>16</v>
      </c>
      <c r="B9">
        <v>60</v>
      </c>
      <c r="D9">
        <v>84</v>
      </c>
      <c r="E9">
        <v>58</v>
      </c>
      <c r="F9">
        <v>69</v>
      </c>
    </row>
    <row r="10" spans="1:17" x14ac:dyDescent="0.3">
      <c r="A10" t="s">
        <v>15</v>
      </c>
      <c r="B10">
        <v>67</v>
      </c>
      <c r="D10">
        <v>72</v>
      </c>
      <c r="E10">
        <v>82</v>
      </c>
      <c r="F10">
        <v>84</v>
      </c>
    </row>
    <row r="11" spans="1:17" ht="15" thickBot="1" x14ac:dyDescent="0.35">
      <c r="A11" t="s">
        <v>12</v>
      </c>
      <c r="B11">
        <v>66</v>
      </c>
      <c r="D11">
        <v>88</v>
      </c>
      <c r="E11">
        <v>65</v>
      </c>
      <c r="F11">
        <v>76</v>
      </c>
      <c r="K11" t="s">
        <v>95</v>
      </c>
    </row>
    <row r="12" spans="1:17" x14ac:dyDescent="0.3">
      <c r="A12" t="s">
        <v>15</v>
      </c>
      <c r="B12">
        <v>58</v>
      </c>
      <c r="D12">
        <v>74</v>
      </c>
      <c r="E12">
        <v>58</v>
      </c>
      <c r="F12">
        <v>56</v>
      </c>
      <c r="K12" s="5" t="s">
        <v>130</v>
      </c>
      <c r="L12" s="5" t="s">
        <v>101</v>
      </c>
      <c r="M12" s="5" t="s">
        <v>100</v>
      </c>
      <c r="N12" s="5" t="s">
        <v>102</v>
      </c>
      <c r="O12" s="5" t="s">
        <v>103</v>
      </c>
      <c r="P12" s="5" t="s">
        <v>107</v>
      </c>
      <c r="Q12" s="5" t="s">
        <v>131</v>
      </c>
    </row>
    <row r="13" spans="1:17" x14ac:dyDescent="0.3">
      <c r="A13" t="s">
        <v>12</v>
      </c>
      <c r="B13">
        <v>68</v>
      </c>
      <c r="D13">
        <v>70</v>
      </c>
      <c r="E13">
        <v>74</v>
      </c>
      <c r="F13">
        <v>80</v>
      </c>
      <c r="K13" t="s">
        <v>132</v>
      </c>
      <c r="L13">
        <v>51.46496186269178</v>
      </c>
      <c r="M13">
        <v>2</v>
      </c>
      <c r="N13">
        <v>25.73248093134589</v>
      </c>
      <c r="O13">
        <v>0.28299929383359501</v>
      </c>
      <c r="P13">
        <v>0.753929913743276</v>
      </c>
      <c r="Q13">
        <v>3.0576206516493913</v>
      </c>
    </row>
    <row r="14" spans="1:17" x14ac:dyDescent="0.3">
      <c r="A14" t="s">
        <v>12</v>
      </c>
      <c r="B14">
        <v>84</v>
      </c>
      <c r="D14">
        <v>63</v>
      </c>
      <c r="E14">
        <v>66</v>
      </c>
      <c r="F14">
        <v>82</v>
      </c>
      <c r="K14" t="s">
        <v>133</v>
      </c>
      <c r="L14">
        <v>13366.375038137294</v>
      </c>
      <c r="M14">
        <v>147</v>
      </c>
      <c r="N14">
        <v>90.927721347872748</v>
      </c>
    </row>
    <row r="15" spans="1:17" x14ac:dyDescent="0.3">
      <c r="A15" t="s">
        <v>16</v>
      </c>
      <c r="B15">
        <v>66</v>
      </c>
      <c r="D15">
        <v>66</v>
      </c>
      <c r="E15">
        <v>86</v>
      </c>
      <c r="F15">
        <v>62</v>
      </c>
    </row>
    <row r="16" spans="1:17" ht="15" thickBot="1" x14ac:dyDescent="0.35">
      <c r="A16" t="s">
        <v>15</v>
      </c>
      <c r="B16">
        <v>70</v>
      </c>
      <c r="D16">
        <v>59</v>
      </c>
      <c r="E16">
        <v>84</v>
      </c>
      <c r="F16">
        <v>88</v>
      </c>
      <c r="K16" s="4" t="s">
        <v>98</v>
      </c>
      <c r="L16" s="4">
        <v>13417.839999999986</v>
      </c>
      <c r="M16" s="4">
        <v>149</v>
      </c>
      <c r="N16" s="4"/>
      <c r="O16" s="4"/>
      <c r="P16" s="4"/>
      <c r="Q16" s="4"/>
    </row>
    <row r="17" spans="1:6" x14ac:dyDescent="0.3">
      <c r="A17" t="s">
        <v>12</v>
      </c>
      <c r="B17">
        <v>72</v>
      </c>
      <c r="D17">
        <v>82</v>
      </c>
      <c r="E17">
        <v>78</v>
      </c>
      <c r="F17">
        <v>55</v>
      </c>
    </row>
    <row r="18" spans="1:6" x14ac:dyDescent="0.3">
      <c r="A18" t="s">
        <v>15</v>
      </c>
      <c r="B18">
        <v>70</v>
      </c>
      <c r="D18">
        <v>66</v>
      </c>
      <c r="E18">
        <v>72</v>
      </c>
      <c r="F18">
        <v>83</v>
      </c>
    </row>
    <row r="19" spans="1:6" x14ac:dyDescent="0.3">
      <c r="A19" t="s">
        <v>12</v>
      </c>
      <c r="B19">
        <v>88</v>
      </c>
      <c r="D19">
        <v>70</v>
      </c>
      <c r="E19">
        <v>74</v>
      </c>
      <c r="F19">
        <v>68</v>
      </c>
    </row>
    <row r="20" spans="1:6" x14ac:dyDescent="0.3">
      <c r="A20" t="s">
        <v>15</v>
      </c>
      <c r="B20">
        <v>72</v>
      </c>
      <c r="D20">
        <v>71</v>
      </c>
      <c r="E20">
        <v>83</v>
      </c>
      <c r="F20">
        <v>59</v>
      </c>
    </row>
    <row r="21" spans="1:6" x14ac:dyDescent="0.3">
      <c r="A21" t="s">
        <v>15</v>
      </c>
      <c r="B21">
        <v>59</v>
      </c>
      <c r="D21">
        <v>72</v>
      </c>
      <c r="E21">
        <v>63</v>
      </c>
      <c r="F21">
        <v>80</v>
      </c>
    </row>
    <row r="22" spans="1:6" x14ac:dyDescent="0.3">
      <c r="A22" t="s">
        <v>12</v>
      </c>
      <c r="B22">
        <v>74</v>
      </c>
      <c r="D22">
        <v>59</v>
      </c>
      <c r="E22">
        <v>74</v>
      </c>
      <c r="F22">
        <v>58</v>
      </c>
    </row>
    <row r="23" spans="1:6" x14ac:dyDescent="0.3">
      <c r="A23" t="s">
        <v>15</v>
      </c>
      <c r="B23">
        <v>58</v>
      </c>
      <c r="D23">
        <v>79</v>
      </c>
      <c r="E23">
        <v>81</v>
      </c>
      <c r="F23">
        <v>60</v>
      </c>
    </row>
    <row r="24" spans="1:6" x14ac:dyDescent="0.3">
      <c r="A24" t="s">
        <v>12</v>
      </c>
      <c r="B24">
        <v>70</v>
      </c>
      <c r="D24">
        <v>76</v>
      </c>
      <c r="E24">
        <v>74</v>
      </c>
      <c r="F24">
        <v>60</v>
      </c>
    </row>
    <row r="25" spans="1:6" x14ac:dyDescent="0.3">
      <c r="A25" t="s">
        <v>16</v>
      </c>
      <c r="B25">
        <v>76</v>
      </c>
      <c r="D25">
        <v>62</v>
      </c>
      <c r="E25">
        <v>70</v>
      </c>
      <c r="F25">
        <v>80</v>
      </c>
    </row>
    <row r="26" spans="1:6" x14ac:dyDescent="0.3">
      <c r="A26" t="s">
        <v>12</v>
      </c>
      <c r="B26">
        <v>63</v>
      </c>
      <c r="D26">
        <v>92</v>
      </c>
      <c r="E26">
        <v>84</v>
      </c>
      <c r="F26">
        <v>65</v>
      </c>
    </row>
    <row r="27" spans="1:6" x14ac:dyDescent="0.3">
      <c r="A27" t="s">
        <v>15</v>
      </c>
      <c r="B27">
        <v>82</v>
      </c>
      <c r="D27">
        <v>70</v>
      </c>
      <c r="E27">
        <v>84</v>
      </c>
      <c r="F27">
        <v>72</v>
      </c>
    </row>
    <row r="28" spans="1:6" x14ac:dyDescent="0.3">
      <c r="A28" t="s">
        <v>12</v>
      </c>
      <c r="B28">
        <v>66</v>
      </c>
      <c r="D28">
        <v>82</v>
      </c>
      <c r="E28">
        <v>64</v>
      </c>
      <c r="F28">
        <v>64</v>
      </c>
    </row>
    <row r="29" spans="1:6" x14ac:dyDescent="0.3">
      <c r="A29" t="s">
        <v>16</v>
      </c>
      <c r="B29">
        <v>82</v>
      </c>
      <c r="D29">
        <v>92</v>
      </c>
      <c r="E29">
        <v>84</v>
      </c>
      <c r="F29">
        <v>76</v>
      </c>
    </row>
    <row r="30" spans="1:6" x14ac:dyDescent="0.3">
      <c r="A30" t="s">
        <v>15</v>
      </c>
      <c r="B30">
        <v>65</v>
      </c>
      <c r="D30">
        <v>88</v>
      </c>
      <c r="E30">
        <v>72</v>
      </c>
      <c r="F30">
        <v>60</v>
      </c>
    </row>
    <row r="31" spans="1:6" x14ac:dyDescent="0.3">
      <c r="A31" t="s">
        <v>15</v>
      </c>
      <c r="B31">
        <v>58</v>
      </c>
      <c r="D31">
        <v>66</v>
      </c>
      <c r="E31">
        <v>74</v>
      </c>
      <c r="F31">
        <v>82</v>
      </c>
    </row>
    <row r="32" spans="1:6" x14ac:dyDescent="0.3">
      <c r="A32" t="s">
        <v>16</v>
      </c>
      <c r="B32">
        <v>80</v>
      </c>
      <c r="D32">
        <v>64</v>
      </c>
      <c r="E32">
        <v>74</v>
      </c>
      <c r="F32">
        <v>72</v>
      </c>
    </row>
    <row r="33" spans="1:6" x14ac:dyDescent="0.3">
      <c r="A33" t="s">
        <v>12</v>
      </c>
      <c r="B33">
        <v>59</v>
      </c>
      <c r="D33">
        <v>58</v>
      </c>
      <c r="E33">
        <v>66</v>
      </c>
      <c r="F33">
        <v>63</v>
      </c>
    </row>
    <row r="34" spans="1:6" x14ac:dyDescent="0.3">
      <c r="A34" t="s">
        <v>12</v>
      </c>
      <c r="B34">
        <v>82</v>
      </c>
      <c r="D34">
        <v>63</v>
      </c>
      <c r="E34">
        <v>85</v>
      </c>
      <c r="F34">
        <v>64</v>
      </c>
    </row>
    <row r="35" spans="1:6" x14ac:dyDescent="0.3">
      <c r="A35" t="s">
        <v>15</v>
      </c>
      <c r="B35">
        <v>74</v>
      </c>
      <c r="D35">
        <v>78</v>
      </c>
      <c r="E35">
        <v>87</v>
      </c>
      <c r="F35">
        <v>86</v>
      </c>
    </row>
    <row r="36" spans="1:6" x14ac:dyDescent="0.3">
      <c r="A36" t="s">
        <v>15</v>
      </c>
      <c r="B36">
        <v>66</v>
      </c>
      <c r="D36">
        <v>65</v>
      </c>
      <c r="E36">
        <v>79</v>
      </c>
      <c r="F36">
        <v>84</v>
      </c>
    </row>
    <row r="37" spans="1:6" x14ac:dyDescent="0.3">
      <c r="A37" t="s">
        <v>12</v>
      </c>
      <c r="B37">
        <v>66</v>
      </c>
      <c r="D37">
        <v>59</v>
      </c>
      <c r="E37">
        <v>74</v>
      </c>
      <c r="F37">
        <v>60</v>
      </c>
    </row>
    <row r="38" spans="1:6" x14ac:dyDescent="0.3">
      <c r="A38" t="s">
        <v>16</v>
      </c>
      <c r="B38">
        <v>72</v>
      </c>
      <c r="D38">
        <v>60</v>
      </c>
      <c r="E38">
        <v>76</v>
      </c>
      <c r="F38">
        <v>59</v>
      </c>
    </row>
    <row r="39" spans="1:6" x14ac:dyDescent="0.3">
      <c r="A39" t="s">
        <v>15</v>
      </c>
      <c r="B39">
        <v>86</v>
      </c>
      <c r="D39">
        <v>82</v>
      </c>
      <c r="E39">
        <v>62</v>
      </c>
      <c r="F39">
        <v>92</v>
      </c>
    </row>
    <row r="40" spans="1:6" x14ac:dyDescent="0.3">
      <c r="A40" t="s">
        <v>16</v>
      </c>
      <c r="B40">
        <v>79</v>
      </c>
      <c r="D40">
        <v>58</v>
      </c>
      <c r="E40">
        <v>64</v>
      </c>
      <c r="F40">
        <v>90</v>
      </c>
    </row>
    <row r="41" spans="1:6" x14ac:dyDescent="0.3">
      <c r="A41" t="s">
        <v>12</v>
      </c>
      <c r="B41">
        <v>70</v>
      </c>
      <c r="D41">
        <v>66</v>
      </c>
      <c r="E41">
        <v>78</v>
      </c>
      <c r="F41">
        <v>60</v>
      </c>
    </row>
    <row r="42" spans="1:6" x14ac:dyDescent="0.3">
      <c r="A42" t="s">
        <v>12</v>
      </c>
      <c r="B42">
        <v>71</v>
      </c>
      <c r="D42">
        <v>82</v>
      </c>
      <c r="E42">
        <v>66</v>
      </c>
      <c r="F42">
        <v>70</v>
      </c>
    </row>
    <row r="43" spans="1:6" x14ac:dyDescent="0.3">
      <c r="A43" t="s">
        <v>16</v>
      </c>
      <c r="B43">
        <v>69</v>
      </c>
      <c r="D43">
        <v>68</v>
      </c>
      <c r="E43">
        <v>64</v>
      </c>
      <c r="F43">
        <v>64</v>
      </c>
    </row>
    <row r="44" spans="1:6" x14ac:dyDescent="0.3">
      <c r="A44" t="s">
        <v>12</v>
      </c>
      <c r="B44">
        <v>72</v>
      </c>
      <c r="D44">
        <v>70</v>
      </c>
      <c r="E44">
        <v>64</v>
      </c>
      <c r="F44">
        <v>62</v>
      </c>
    </row>
    <row r="45" spans="1:6" x14ac:dyDescent="0.3">
      <c r="A45" t="s">
        <v>15</v>
      </c>
      <c r="B45">
        <v>84</v>
      </c>
      <c r="D45">
        <v>64</v>
      </c>
      <c r="E45">
        <v>68</v>
      </c>
      <c r="F45">
        <v>68</v>
      </c>
    </row>
    <row r="46" spans="1:6" x14ac:dyDescent="0.3">
      <c r="A46" t="s">
        <v>16</v>
      </c>
      <c r="B46">
        <v>84</v>
      </c>
      <c r="D46">
        <v>83</v>
      </c>
      <c r="E46">
        <v>76</v>
      </c>
      <c r="F46">
        <v>70</v>
      </c>
    </row>
    <row r="47" spans="1:6" x14ac:dyDescent="0.3">
      <c r="A47" t="s">
        <v>16</v>
      </c>
      <c r="B47">
        <v>76</v>
      </c>
      <c r="D47">
        <v>67</v>
      </c>
      <c r="E47">
        <v>81</v>
      </c>
      <c r="F47">
        <v>83</v>
      </c>
    </row>
    <row r="48" spans="1:6" x14ac:dyDescent="0.3">
      <c r="A48" t="s">
        <v>12</v>
      </c>
      <c r="B48">
        <v>59</v>
      </c>
      <c r="D48">
        <v>78</v>
      </c>
      <c r="E48">
        <v>86</v>
      </c>
      <c r="F48">
        <v>68</v>
      </c>
    </row>
    <row r="49" spans="1:5" x14ac:dyDescent="0.3">
      <c r="A49" t="s">
        <v>15</v>
      </c>
      <c r="B49">
        <v>78</v>
      </c>
      <c r="D49">
        <v>82</v>
      </c>
      <c r="E49">
        <v>85</v>
      </c>
    </row>
    <row r="50" spans="1:5" x14ac:dyDescent="0.3">
      <c r="A50" t="s">
        <v>16</v>
      </c>
      <c r="B50">
        <v>56</v>
      </c>
      <c r="D50">
        <v>79</v>
      </c>
      <c r="E50">
        <v>68</v>
      </c>
    </row>
    <row r="51" spans="1:5" x14ac:dyDescent="0.3">
      <c r="A51" t="s">
        <v>16</v>
      </c>
      <c r="B51">
        <v>80</v>
      </c>
      <c r="D51">
        <v>73</v>
      </c>
      <c r="E51">
        <v>58</v>
      </c>
    </row>
    <row r="52" spans="1:5" x14ac:dyDescent="0.3">
      <c r="A52" t="s">
        <v>12</v>
      </c>
      <c r="B52">
        <v>79</v>
      </c>
      <c r="D52">
        <v>88</v>
      </c>
    </row>
    <row r="53" spans="1:5" x14ac:dyDescent="0.3">
      <c r="A53" t="s">
        <v>16</v>
      </c>
      <c r="B53">
        <v>82</v>
      </c>
      <c r="D53">
        <v>67</v>
      </c>
    </row>
    <row r="54" spans="1:5" x14ac:dyDescent="0.3">
      <c r="A54" t="s">
        <v>15</v>
      </c>
      <c r="B54">
        <v>72</v>
      </c>
      <c r="D54">
        <v>84</v>
      </c>
    </row>
    <row r="55" spans="1:5" x14ac:dyDescent="0.3">
      <c r="A55" t="s">
        <v>16</v>
      </c>
      <c r="B55">
        <v>62</v>
      </c>
    </row>
    <row r="56" spans="1:5" x14ac:dyDescent="0.3">
      <c r="A56" t="s">
        <v>15</v>
      </c>
      <c r="B56">
        <v>74</v>
      </c>
    </row>
    <row r="57" spans="1:5" x14ac:dyDescent="0.3">
      <c r="A57" t="s">
        <v>12</v>
      </c>
      <c r="B57">
        <v>76</v>
      </c>
    </row>
    <row r="58" spans="1:5" x14ac:dyDescent="0.3">
      <c r="A58" t="s">
        <v>15</v>
      </c>
      <c r="B58">
        <v>83</v>
      </c>
    </row>
    <row r="59" spans="1:5" x14ac:dyDescent="0.3">
      <c r="A59" t="s">
        <v>15</v>
      </c>
      <c r="B59">
        <v>63</v>
      </c>
    </row>
    <row r="60" spans="1:5" x14ac:dyDescent="0.3">
      <c r="A60" t="s">
        <v>15</v>
      </c>
      <c r="B60">
        <v>74</v>
      </c>
    </row>
    <row r="61" spans="1:5" x14ac:dyDescent="0.3">
      <c r="A61" t="s">
        <v>12</v>
      </c>
      <c r="B61">
        <v>62</v>
      </c>
    </row>
    <row r="62" spans="1:5" x14ac:dyDescent="0.3">
      <c r="A62" t="s">
        <v>15</v>
      </c>
      <c r="B62">
        <v>81</v>
      </c>
    </row>
    <row r="63" spans="1:5" x14ac:dyDescent="0.3">
      <c r="A63" t="s">
        <v>12</v>
      </c>
      <c r="B63">
        <v>92</v>
      </c>
    </row>
    <row r="64" spans="1:5" x14ac:dyDescent="0.3">
      <c r="A64" t="s">
        <v>12</v>
      </c>
      <c r="B64">
        <v>70</v>
      </c>
    </row>
    <row r="65" spans="1:2" x14ac:dyDescent="0.3">
      <c r="A65" t="s">
        <v>15</v>
      </c>
      <c r="B65">
        <v>74</v>
      </c>
    </row>
    <row r="66" spans="1:2" x14ac:dyDescent="0.3">
      <c r="A66" t="s">
        <v>15</v>
      </c>
      <c r="B66">
        <v>70</v>
      </c>
    </row>
    <row r="67" spans="1:2" x14ac:dyDescent="0.3">
      <c r="A67" t="s">
        <v>16</v>
      </c>
      <c r="B67">
        <v>88</v>
      </c>
    </row>
    <row r="68" spans="1:2" x14ac:dyDescent="0.3">
      <c r="A68" t="s">
        <v>16</v>
      </c>
      <c r="B68">
        <v>55</v>
      </c>
    </row>
    <row r="69" spans="1:2" x14ac:dyDescent="0.3">
      <c r="A69" t="s">
        <v>16</v>
      </c>
      <c r="B69">
        <v>83</v>
      </c>
    </row>
    <row r="70" spans="1:2" x14ac:dyDescent="0.3">
      <c r="A70" t="s">
        <v>12</v>
      </c>
      <c r="B70">
        <v>82</v>
      </c>
    </row>
    <row r="71" spans="1:2" x14ac:dyDescent="0.3">
      <c r="A71" t="s">
        <v>15</v>
      </c>
      <c r="B71">
        <v>84</v>
      </c>
    </row>
    <row r="72" spans="1:2" x14ac:dyDescent="0.3">
      <c r="A72" t="s">
        <v>15</v>
      </c>
      <c r="B72">
        <v>84</v>
      </c>
    </row>
    <row r="73" spans="1:2" x14ac:dyDescent="0.3">
      <c r="A73" t="s">
        <v>15</v>
      </c>
      <c r="B73">
        <v>64</v>
      </c>
    </row>
    <row r="74" spans="1:2" x14ac:dyDescent="0.3">
      <c r="A74" t="s">
        <v>12</v>
      </c>
      <c r="B74">
        <v>92</v>
      </c>
    </row>
    <row r="75" spans="1:2" x14ac:dyDescent="0.3">
      <c r="A75" t="s">
        <v>12</v>
      </c>
      <c r="B75">
        <v>88</v>
      </c>
    </row>
    <row r="76" spans="1:2" x14ac:dyDescent="0.3">
      <c r="A76" t="s">
        <v>15</v>
      </c>
      <c r="B76">
        <v>84</v>
      </c>
    </row>
    <row r="77" spans="1:2" x14ac:dyDescent="0.3">
      <c r="A77" t="s">
        <v>16</v>
      </c>
      <c r="B77">
        <v>68</v>
      </c>
    </row>
    <row r="78" spans="1:2" x14ac:dyDescent="0.3">
      <c r="A78" t="s">
        <v>12</v>
      </c>
      <c r="B78">
        <v>66</v>
      </c>
    </row>
    <row r="79" spans="1:2" x14ac:dyDescent="0.3">
      <c r="A79" t="s">
        <v>16</v>
      </c>
      <c r="B79">
        <v>59</v>
      </c>
    </row>
    <row r="80" spans="1:2" x14ac:dyDescent="0.3">
      <c r="A80" t="s">
        <v>15</v>
      </c>
      <c r="B80">
        <v>72</v>
      </c>
    </row>
    <row r="81" spans="1:2" x14ac:dyDescent="0.3">
      <c r="A81" t="s">
        <v>12</v>
      </c>
      <c r="B81">
        <v>64</v>
      </c>
    </row>
    <row r="82" spans="1:2" x14ac:dyDescent="0.3">
      <c r="A82" t="s">
        <v>12</v>
      </c>
      <c r="B82">
        <v>58</v>
      </c>
    </row>
    <row r="83" spans="1:2" x14ac:dyDescent="0.3">
      <c r="A83" t="s">
        <v>15</v>
      </c>
      <c r="B83">
        <v>74</v>
      </c>
    </row>
    <row r="84" spans="1:2" x14ac:dyDescent="0.3">
      <c r="A84" t="s">
        <v>15</v>
      </c>
      <c r="B84">
        <v>74</v>
      </c>
    </row>
    <row r="85" spans="1:2" x14ac:dyDescent="0.3">
      <c r="A85" t="s">
        <v>15</v>
      </c>
      <c r="B85">
        <v>66</v>
      </c>
    </row>
    <row r="86" spans="1:2" x14ac:dyDescent="0.3">
      <c r="A86" t="s">
        <v>16</v>
      </c>
      <c r="B86">
        <v>80</v>
      </c>
    </row>
    <row r="87" spans="1:2" x14ac:dyDescent="0.3">
      <c r="A87" t="s">
        <v>12</v>
      </c>
      <c r="B87">
        <v>63</v>
      </c>
    </row>
    <row r="88" spans="1:2" x14ac:dyDescent="0.3">
      <c r="A88" t="s">
        <v>16</v>
      </c>
      <c r="B88">
        <v>58</v>
      </c>
    </row>
    <row r="89" spans="1:2" x14ac:dyDescent="0.3">
      <c r="A89" t="s">
        <v>12</v>
      </c>
      <c r="B89">
        <v>78</v>
      </c>
    </row>
    <row r="90" spans="1:2" x14ac:dyDescent="0.3">
      <c r="A90" t="s">
        <v>16</v>
      </c>
      <c r="B90">
        <v>60</v>
      </c>
    </row>
    <row r="91" spans="1:2" x14ac:dyDescent="0.3">
      <c r="A91" t="s">
        <v>15</v>
      </c>
      <c r="B91">
        <v>85</v>
      </c>
    </row>
    <row r="92" spans="1:2" x14ac:dyDescent="0.3">
      <c r="A92" t="s">
        <v>12</v>
      </c>
      <c r="B92">
        <v>65</v>
      </c>
    </row>
    <row r="93" spans="1:2" x14ac:dyDescent="0.3">
      <c r="A93" t="s">
        <v>12</v>
      </c>
      <c r="B93">
        <v>59</v>
      </c>
    </row>
    <row r="94" spans="1:2" x14ac:dyDescent="0.3">
      <c r="A94" t="s">
        <v>16</v>
      </c>
      <c r="B94">
        <v>60</v>
      </c>
    </row>
    <row r="95" spans="1:2" x14ac:dyDescent="0.3">
      <c r="A95" t="s">
        <v>16</v>
      </c>
      <c r="B95">
        <v>80</v>
      </c>
    </row>
    <row r="96" spans="1:2" x14ac:dyDescent="0.3">
      <c r="A96" t="s">
        <v>15</v>
      </c>
      <c r="B96">
        <v>87</v>
      </c>
    </row>
    <row r="97" spans="1:2" x14ac:dyDescent="0.3">
      <c r="A97" t="s">
        <v>16</v>
      </c>
      <c r="B97">
        <v>65</v>
      </c>
    </row>
    <row r="98" spans="1:2" x14ac:dyDescent="0.3">
      <c r="A98" t="s">
        <v>12</v>
      </c>
      <c r="B98">
        <v>60</v>
      </c>
    </row>
    <row r="99" spans="1:2" x14ac:dyDescent="0.3">
      <c r="A99" t="s">
        <v>16</v>
      </c>
      <c r="B99">
        <v>72</v>
      </c>
    </row>
    <row r="100" spans="1:2" x14ac:dyDescent="0.3">
      <c r="A100" t="s">
        <v>12</v>
      </c>
      <c r="B100">
        <v>82</v>
      </c>
    </row>
    <row r="101" spans="1:2" x14ac:dyDescent="0.3">
      <c r="A101" t="s">
        <v>16</v>
      </c>
      <c r="B101">
        <v>64</v>
      </c>
    </row>
    <row r="102" spans="1:2" x14ac:dyDescent="0.3">
      <c r="A102" t="s">
        <v>15</v>
      </c>
      <c r="B102">
        <v>79</v>
      </c>
    </row>
    <row r="103" spans="1:2" x14ac:dyDescent="0.3">
      <c r="A103" t="s">
        <v>16</v>
      </c>
      <c r="B103">
        <v>76</v>
      </c>
    </row>
    <row r="104" spans="1:2" x14ac:dyDescent="0.3">
      <c r="A104" t="s">
        <v>16</v>
      </c>
      <c r="B104">
        <v>60</v>
      </c>
    </row>
    <row r="105" spans="1:2" x14ac:dyDescent="0.3">
      <c r="A105" t="s">
        <v>16</v>
      </c>
      <c r="B105">
        <v>82</v>
      </c>
    </row>
    <row r="106" spans="1:2" x14ac:dyDescent="0.3">
      <c r="A106" t="s">
        <v>12</v>
      </c>
      <c r="B106">
        <v>58</v>
      </c>
    </row>
    <row r="107" spans="1:2" x14ac:dyDescent="0.3">
      <c r="A107" t="s">
        <v>12</v>
      </c>
      <c r="B107">
        <v>66</v>
      </c>
    </row>
    <row r="108" spans="1:2" x14ac:dyDescent="0.3">
      <c r="A108" t="s">
        <v>16</v>
      </c>
      <c r="B108">
        <v>72</v>
      </c>
    </row>
    <row r="109" spans="1:2" x14ac:dyDescent="0.3">
      <c r="A109" t="s">
        <v>15</v>
      </c>
      <c r="B109">
        <v>74</v>
      </c>
    </row>
    <row r="110" spans="1:2" x14ac:dyDescent="0.3">
      <c r="A110" t="s">
        <v>12</v>
      </c>
      <c r="B110">
        <v>82</v>
      </c>
    </row>
    <row r="111" spans="1:2" x14ac:dyDescent="0.3">
      <c r="A111" t="s">
        <v>16</v>
      </c>
      <c r="B111">
        <v>63</v>
      </c>
    </row>
    <row r="112" spans="1:2" x14ac:dyDescent="0.3">
      <c r="A112" t="s">
        <v>12</v>
      </c>
      <c r="B112">
        <v>68</v>
      </c>
    </row>
    <row r="113" spans="1:2" x14ac:dyDescent="0.3">
      <c r="A113" t="s">
        <v>12</v>
      </c>
      <c r="B113">
        <v>70</v>
      </c>
    </row>
    <row r="114" spans="1:2" x14ac:dyDescent="0.3">
      <c r="A114" t="s">
        <v>15</v>
      </c>
      <c r="B114">
        <v>76</v>
      </c>
    </row>
    <row r="115" spans="1:2" x14ac:dyDescent="0.3">
      <c r="A115" t="s">
        <v>15</v>
      </c>
      <c r="B115">
        <v>62</v>
      </c>
    </row>
    <row r="116" spans="1:2" x14ac:dyDescent="0.3">
      <c r="A116" t="s">
        <v>12</v>
      </c>
      <c r="B116">
        <v>64</v>
      </c>
    </row>
    <row r="117" spans="1:2" x14ac:dyDescent="0.3">
      <c r="A117" t="s">
        <v>15</v>
      </c>
      <c r="B117">
        <v>64</v>
      </c>
    </row>
    <row r="118" spans="1:2" x14ac:dyDescent="0.3">
      <c r="A118" t="s">
        <v>15</v>
      </c>
      <c r="B118">
        <v>78</v>
      </c>
    </row>
    <row r="119" spans="1:2" x14ac:dyDescent="0.3">
      <c r="A119" t="s">
        <v>15</v>
      </c>
      <c r="B119">
        <v>66</v>
      </c>
    </row>
    <row r="120" spans="1:2" x14ac:dyDescent="0.3">
      <c r="A120" t="s">
        <v>16</v>
      </c>
      <c r="B120">
        <v>64</v>
      </c>
    </row>
    <row r="121" spans="1:2" x14ac:dyDescent="0.3">
      <c r="A121" t="s">
        <v>15</v>
      </c>
      <c r="B121">
        <v>64</v>
      </c>
    </row>
    <row r="122" spans="1:2" x14ac:dyDescent="0.3">
      <c r="A122" t="s">
        <v>15</v>
      </c>
      <c r="B122">
        <v>64</v>
      </c>
    </row>
    <row r="123" spans="1:2" x14ac:dyDescent="0.3">
      <c r="A123" t="s">
        <v>16</v>
      </c>
      <c r="B123">
        <v>86</v>
      </c>
    </row>
    <row r="124" spans="1:2" x14ac:dyDescent="0.3">
      <c r="A124" t="s">
        <v>16</v>
      </c>
      <c r="B124">
        <v>84</v>
      </c>
    </row>
    <row r="125" spans="1:2" x14ac:dyDescent="0.3">
      <c r="A125" t="s">
        <v>15</v>
      </c>
      <c r="B125">
        <v>68</v>
      </c>
    </row>
    <row r="126" spans="1:2" x14ac:dyDescent="0.3">
      <c r="A126" t="s">
        <v>12</v>
      </c>
      <c r="B126">
        <v>83</v>
      </c>
    </row>
    <row r="127" spans="1:2" x14ac:dyDescent="0.3">
      <c r="A127" t="s">
        <v>12</v>
      </c>
      <c r="B127">
        <v>67</v>
      </c>
    </row>
    <row r="128" spans="1:2" x14ac:dyDescent="0.3">
      <c r="A128" t="s">
        <v>16</v>
      </c>
      <c r="B128">
        <v>60</v>
      </c>
    </row>
    <row r="129" spans="1:2" x14ac:dyDescent="0.3">
      <c r="A129" t="s">
        <v>15</v>
      </c>
      <c r="B129">
        <v>76</v>
      </c>
    </row>
    <row r="130" spans="1:2" x14ac:dyDescent="0.3">
      <c r="A130" t="s">
        <v>16</v>
      </c>
      <c r="B130">
        <v>59</v>
      </c>
    </row>
    <row r="131" spans="1:2" x14ac:dyDescent="0.3">
      <c r="A131" t="s">
        <v>16</v>
      </c>
      <c r="B131">
        <v>92</v>
      </c>
    </row>
    <row r="132" spans="1:2" x14ac:dyDescent="0.3">
      <c r="A132" t="s">
        <v>15</v>
      </c>
      <c r="B132">
        <v>81</v>
      </c>
    </row>
    <row r="133" spans="1:2" x14ac:dyDescent="0.3">
      <c r="A133" t="s">
        <v>16</v>
      </c>
      <c r="B133">
        <v>90</v>
      </c>
    </row>
    <row r="134" spans="1:2" x14ac:dyDescent="0.3">
      <c r="A134" t="s">
        <v>12</v>
      </c>
      <c r="B134">
        <v>78</v>
      </c>
    </row>
    <row r="135" spans="1:2" x14ac:dyDescent="0.3">
      <c r="A135" t="s">
        <v>12</v>
      </c>
      <c r="B135">
        <v>82</v>
      </c>
    </row>
    <row r="136" spans="1:2" x14ac:dyDescent="0.3">
      <c r="A136" t="s">
        <v>16</v>
      </c>
      <c r="B136">
        <v>60</v>
      </c>
    </row>
    <row r="137" spans="1:2" x14ac:dyDescent="0.3">
      <c r="A137" t="s">
        <v>12</v>
      </c>
      <c r="B137">
        <v>79</v>
      </c>
    </row>
    <row r="138" spans="1:2" x14ac:dyDescent="0.3">
      <c r="A138" t="s">
        <v>16</v>
      </c>
      <c r="B138">
        <v>70</v>
      </c>
    </row>
    <row r="139" spans="1:2" x14ac:dyDescent="0.3">
      <c r="A139" t="s">
        <v>16</v>
      </c>
      <c r="B139">
        <v>64</v>
      </c>
    </row>
    <row r="140" spans="1:2" x14ac:dyDescent="0.3">
      <c r="A140" t="s">
        <v>16</v>
      </c>
      <c r="B140">
        <v>62</v>
      </c>
    </row>
    <row r="141" spans="1:2" x14ac:dyDescent="0.3">
      <c r="A141" t="s">
        <v>16</v>
      </c>
      <c r="B141">
        <v>68</v>
      </c>
    </row>
    <row r="142" spans="1:2" x14ac:dyDescent="0.3">
      <c r="A142" t="s">
        <v>15</v>
      </c>
      <c r="B142">
        <v>86</v>
      </c>
    </row>
    <row r="143" spans="1:2" x14ac:dyDescent="0.3">
      <c r="A143" t="s">
        <v>16</v>
      </c>
      <c r="B143">
        <v>70</v>
      </c>
    </row>
    <row r="144" spans="1:2" x14ac:dyDescent="0.3">
      <c r="A144" t="s">
        <v>15</v>
      </c>
      <c r="B144">
        <v>85</v>
      </c>
    </row>
    <row r="145" spans="1:2" x14ac:dyDescent="0.3">
      <c r="A145" t="s">
        <v>16</v>
      </c>
      <c r="B145">
        <v>83</v>
      </c>
    </row>
    <row r="146" spans="1:2" x14ac:dyDescent="0.3">
      <c r="A146" t="s">
        <v>16</v>
      </c>
      <c r="B146">
        <v>68</v>
      </c>
    </row>
    <row r="147" spans="1:2" x14ac:dyDescent="0.3">
      <c r="A147" t="s">
        <v>12</v>
      </c>
      <c r="B147">
        <v>73</v>
      </c>
    </row>
    <row r="148" spans="1:2" x14ac:dyDescent="0.3">
      <c r="A148" t="s">
        <v>15</v>
      </c>
      <c r="B148">
        <v>68</v>
      </c>
    </row>
    <row r="149" spans="1:2" x14ac:dyDescent="0.3">
      <c r="A149" t="s">
        <v>12</v>
      </c>
      <c r="B149">
        <v>88</v>
      </c>
    </row>
    <row r="150" spans="1:2" x14ac:dyDescent="0.3">
      <c r="A150" t="s">
        <v>15</v>
      </c>
      <c r="B150">
        <v>58</v>
      </c>
    </row>
    <row r="151" spans="1:2" x14ac:dyDescent="0.3">
      <c r="A151" t="s">
        <v>12</v>
      </c>
      <c r="B151">
        <v>67</v>
      </c>
    </row>
    <row r="152" spans="1:2" x14ac:dyDescent="0.3">
      <c r="A152" t="s">
        <v>12</v>
      </c>
      <c r="B152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A36E-0706-49FD-9094-30E99BFD670A}">
  <dimension ref="A17:G84"/>
  <sheetViews>
    <sheetView topLeftCell="A55" zoomScale="64" workbookViewId="0">
      <selection activeCell="P98" sqref="P98"/>
    </sheetView>
  </sheetViews>
  <sheetFormatPr defaultRowHeight="14.4" x14ac:dyDescent="0.3"/>
  <cols>
    <col min="1" max="1" width="20" customWidth="1"/>
    <col min="2" max="2" width="14.77734375" customWidth="1"/>
    <col min="3" max="3" width="16.33203125" customWidth="1"/>
    <col min="4" max="4" width="15" customWidth="1"/>
    <col min="5" max="5" width="18.6640625" customWidth="1"/>
    <col min="6" max="6" width="18.21875" bestFit="1" customWidth="1"/>
    <col min="7" max="7" width="17.33203125" bestFit="1" customWidth="1"/>
  </cols>
  <sheetData>
    <row r="17" spans="1:6" ht="15" thickBot="1" x14ac:dyDescent="0.35"/>
    <row r="18" spans="1:6" x14ac:dyDescent="0.3">
      <c r="A18" s="3" t="s">
        <v>79</v>
      </c>
      <c r="B18" s="3" t="s">
        <v>4</v>
      </c>
      <c r="C18" s="3" t="s">
        <v>2</v>
      </c>
      <c r="D18" s="3" t="s">
        <v>6</v>
      </c>
      <c r="E18" s="3" t="s">
        <v>7</v>
      </c>
      <c r="F18" s="3" t="s">
        <v>1</v>
      </c>
    </row>
    <row r="19" spans="1:6" x14ac:dyDescent="0.3">
      <c r="A19" t="s">
        <v>81</v>
      </c>
      <c r="B19">
        <v>17.82</v>
      </c>
      <c r="C19">
        <v>11.233333333333333</v>
      </c>
      <c r="D19">
        <v>4892.4399999999996</v>
      </c>
      <c r="E19">
        <v>72.12</v>
      </c>
      <c r="F19">
        <v>42.88</v>
      </c>
    </row>
    <row r="20" spans="1:6" x14ac:dyDescent="0.3">
      <c r="A20" t="s">
        <v>82</v>
      </c>
      <c r="B20">
        <v>17</v>
      </c>
      <c r="C20">
        <v>10</v>
      </c>
      <c r="D20">
        <v>4701</v>
      </c>
      <c r="E20">
        <v>71.5</v>
      </c>
      <c r="F20">
        <v>44</v>
      </c>
    </row>
    <row r="21" spans="1:6" x14ac:dyDescent="0.3">
      <c r="A21" t="s">
        <v>80</v>
      </c>
      <c r="B21">
        <v>7.1897298116897739</v>
      </c>
      <c r="C21">
        <v>9.2456531899199739</v>
      </c>
      <c r="D21">
        <v>1599.0287340598334</v>
      </c>
      <c r="E21">
        <v>9.4896057583897662</v>
      </c>
      <c r="F21">
        <v>10.354728518148795</v>
      </c>
    </row>
    <row r="22" spans="1:6" x14ac:dyDescent="0.3">
      <c r="A22" t="s">
        <v>83</v>
      </c>
      <c r="B22">
        <v>51.692214765100665</v>
      </c>
      <c r="C22">
        <v>85.482102908277398</v>
      </c>
      <c r="D22">
        <v>2556892.8923489936</v>
      </c>
      <c r="E22">
        <v>90.052617449664211</v>
      </c>
      <c r="F22">
        <v>107.22040268456394</v>
      </c>
    </row>
    <row r="23" spans="1:6" x14ac:dyDescent="0.3">
      <c r="A23" t="s">
        <v>84</v>
      </c>
      <c r="B23">
        <v>5</v>
      </c>
      <c r="C23">
        <v>0</v>
      </c>
      <c r="D23">
        <v>1939</v>
      </c>
      <c r="E23">
        <v>55</v>
      </c>
      <c r="F23">
        <v>22</v>
      </c>
    </row>
    <row r="24" spans="1:6" x14ac:dyDescent="0.3">
      <c r="A24" t="s">
        <v>85</v>
      </c>
      <c r="B24">
        <v>30</v>
      </c>
      <c r="C24">
        <v>34</v>
      </c>
      <c r="D24">
        <v>9356</v>
      </c>
      <c r="E24">
        <v>92</v>
      </c>
      <c r="F24">
        <v>58</v>
      </c>
    </row>
    <row r="28" spans="1:6" x14ac:dyDescent="0.3">
      <c r="B28" t="s">
        <v>6</v>
      </c>
      <c r="C28" t="s">
        <v>7</v>
      </c>
    </row>
    <row r="29" spans="1:6" x14ac:dyDescent="0.3">
      <c r="A29" t="s">
        <v>86</v>
      </c>
      <c r="B29">
        <v>0.524623463203993</v>
      </c>
      <c r="C29">
        <v>0.18720760882148901</v>
      </c>
    </row>
    <row r="30" spans="1:6" x14ac:dyDescent="0.3">
      <c r="A30" t="s">
        <v>87</v>
      </c>
      <c r="B30">
        <v>-0.30718804847095527</v>
      </c>
      <c r="C30">
        <v>-1.0692781838064924</v>
      </c>
    </row>
    <row r="48" ht="15" thickBot="1" x14ac:dyDescent="0.35"/>
    <row r="49" spans="1:7" x14ac:dyDescent="0.3">
      <c r="A49" s="5"/>
      <c r="B49" s="5" t="s">
        <v>1</v>
      </c>
      <c r="C49" s="5" t="s">
        <v>2</v>
      </c>
      <c r="D49" s="5" t="s">
        <v>3</v>
      </c>
      <c r="E49" s="5" t="s">
        <v>4</v>
      </c>
      <c r="F49" s="5" t="s">
        <v>6</v>
      </c>
      <c r="G49" s="5" t="s">
        <v>7</v>
      </c>
    </row>
    <row r="50" spans="1:7" x14ac:dyDescent="0.3">
      <c r="A50" t="s">
        <v>1</v>
      </c>
      <c r="B50">
        <v>1</v>
      </c>
    </row>
    <row r="51" spans="1:7" x14ac:dyDescent="0.3">
      <c r="A51" t="s">
        <v>2</v>
      </c>
      <c r="B51">
        <v>0.63227416007095127</v>
      </c>
      <c r="C51">
        <v>1</v>
      </c>
    </row>
    <row r="52" spans="1:7" x14ac:dyDescent="0.3">
      <c r="A52" t="s">
        <v>3</v>
      </c>
      <c r="B52">
        <v>-3.5597700953125942E-2</v>
      </c>
      <c r="C52">
        <v>-3.0905328079871095E-3</v>
      </c>
      <c r="D52">
        <v>1</v>
      </c>
    </row>
    <row r="53" spans="1:7" x14ac:dyDescent="0.3">
      <c r="A53" t="s">
        <v>4</v>
      </c>
      <c r="B53">
        <v>-0.1350653139096577</v>
      </c>
      <c r="C53">
        <v>-9.8711824254379577E-2</v>
      </c>
      <c r="D53">
        <v>-8.1075298149938829E-2</v>
      </c>
      <c r="E53">
        <v>1</v>
      </c>
    </row>
    <row r="54" spans="1:7" x14ac:dyDescent="0.3">
      <c r="A54" t="s">
        <v>6</v>
      </c>
      <c r="B54">
        <v>0.62623626351475892</v>
      </c>
      <c r="C54">
        <v>0.91720765647857772</v>
      </c>
      <c r="D54">
        <v>0.25911804999819832</v>
      </c>
      <c r="E54">
        <v>-7.7632697598269476E-2</v>
      </c>
      <c r="F54">
        <v>1</v>
      </c>
    </row>
    <row r="55" spans="1:7" ht="15" thickBot="1" x14ac:dyDescent="0.35">
      <c r="A55" s="4" t="s">
        <v>7</v>
      </c>
      <c r="B55" s="4">
        <v>-0.10708498611644857</v>
      </c>
      <c r="C55" s="4">
        <v>-0.14856684900845371</v>
      </c>
      <c r="D55" s="4">
        <v>-0.16079185436517709</v>
      </c>
      <c r="E55" s="4">
        <v>2.176289371929899E-2</v>
      </c>
      <c r="F55" s="4">
        <v>-0.17637769567516345</v>
      </c>
      <c r="G55" s="4">
        <v>1</v>
      </c>
    </row>
    <row r="82" spans="6:7" x14ac:dyDescent="0.3">
      <c r="F82" s="7" t="s">
        <v>10</v>
      </c>
      <c r="G82" t="s">
        <v>136</v>
      </c>
    </row>
    <row r="83" spans="6:7" x14ac:dyDescent="0.3">
      <c r="F83" t="s">
        <v>13</v>
      </c>
      <c r="G83" s="14">
        <v>24</v>
      </c>
    </row>
    <row r="84" spans="6:7" x14ac:dyDescent="0.3">
      <c r="F84" t="s">
        <v>14</v>
      </c>
      <c r="G84" s="14">
        <v>45</v>
      </c>
    </row>
  </sheetData>
  <conditionalFormatting sqref="A49:G5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3"/>
  <sheetViews>
    <sheetView tabSelected="1" topLeftCell="A57" zoomScale="95" workbookViewId="0">
      <selection activeCell="A63" sqref="A63"/>
    </sheetView>
  </sheetViews>
  <sheetFormatPr defaultRowHeight="14.4" x14ac:dyDescent="0.3"/>
  <cols>
    <col min="1" max="1" width="12.5546875" style="16" customWidth="1"/>
    <col min="2" max="2" width="15" customWidth="1"/>
  </cols>
  <sheetData>
    <row r="1" spans="1:2" x14ac:dyDescent="0.3">
      <c r="A1" s="15" t="s">
        <v>17</v>
      </c>
      <c r="B1" s="17" t="s">
        <v>18</v>
      </c>
    </row>
    <row r="2" spans="1:2" x14ac:dyDescent="0.3">
      <c r="A2" s="16" t="s">
        <v>19</v>
      </c>
      <c r="B2" s="18">
        <v>87808</v>
      </c>
    </row>
    <row r="3" spans="1:2" x14ac:dyDescent="0.3">
      <c r="A3" s="16" t="s">
        <v>20</v>
      </c>
      <c r="B3" s="18">
        <v>96364</v>
      </c>
    </row>
    <row r="4" spans="1:2" x14ac:dyDescent="0.3">
      <c r="A4" s="16" t="s">
        <v>21</v>
      </c>
      <c r="B4" s="18">
        <v>90582</v>
      </c>
    </row>
    <row r="5" spans="1:2" x14ac:dyDescent="0.3">
      <c r="A5" s="16" t="s">
        <v>22</v>
      </c>
      <c r="B5" s="18">
        <v>95832</v>
      </c>
    </row>
    <row r="6" spans="1:2" x14ac:dyDescent="0.3">
      <c r="A6" s="16" t="s">
        <v>23</v>
      </c>
      <c r="B6" s="18">
        <v>98707</v>
      </c>
    </row>
    <row r="7" spans="1:2" x14ac:dyDescent="0.3">
      <c r="A7" s="16" t="s">
        <v>24</v>
      </c>
      <c r="B7" s="18">
        <v>98061</v>
      </c>
    </row>
    <row r="8" spans="1:2" x14ac:dyDescent="0.3">
      <c r="A8" s="16" t="s">
        <v>25</v>
      </c>
      <c r="B8" s="18">
        <v>100255</v>
      </c>
    </row>
    <row r="9" spans="1:2" x14ac:dyDescent="0.3">
      <c r="A9" s="16" t="s">
        <v>26</v>
      </c>
      <c r="B9" s="18">
        <v>105651</v>
      </c>
    </row>
    <row r="10" spans="1:2" x14ac:dyDescent="0.3">
      <c r="A10" s="16" t="s">
        <v>27</v>
      </c>
      <c r="B10" s="18">
        <v>99405</v>
      </c>
    </row>
    <row r="11" spans="1:2" x14ac:dyDescent="0.3">
      <c r="A11" s="16" t="s">
        <v>28</v>
      </c>
      <c r="B11" s="18">
        <v>102381</v>
      </c>
    </row>
    <row r="12" spans="1:2" x14ac:dyDescent="0.3">
      <c r="A12" s="16" t="s">
        <v>29</v>
      </c>
      <c r="B12" s="18">
        <v>106716</v>
      </c>
    </row>
    <row r="13" spans="1:2" x14ac:dyDescent="0.3">
      <c r="A13" s="16" t="s">
        <v>30</v>
      </c>
      <c r="B13" s="18">
        <v>111524</v>
      </c>
    </row>
    <row r="14" spans="1:2" x14ac:dyDescent="0.3">
      <c r="A14" s="16" t="s">
        <v>31</v>
      </c>
      <c r="B14" s="18">
        <v>104985</v>
      </c>
    </row>
    <row r="15" spans="1:2" x14ac:dyDescent="0.3">
      <c r="A15" s="16" t="s">
        <v>32</v>
      </c>
      <c r="B15" s="18">
        <v>106627</v>
      </c>
    </row>
    <row r="16" spans="1:2" x14ac:dyDescent="0.3">
      <c r="A16" s="16" t="s">
        <v>33</v>
      </c>
      <c r="B16" s="18">
        <v>106374</v>
      </c>
    </row>
    <row r="17" spans="1:2" x14ac:dyDescent="0.3">
      <c r="A17" s="16" t="s">
        <v>34</v>
      </c>
      <c r="B17" s="18">
        <v>105689</v>
      </c>
    </row>
    <row r="18" spans="1:2" x14ac:dyDescent="0.3">
      <c r="A18" s="16" t="s">
        <v>35</v>
      </c>
      <c r="B18" s="18">
        <v>107937</v>
      </c>
    </row>
    <row r="19" spans="1:2" x14ac:dyDescent="0.3">
      <c r="A19" s="16" t="s">
        <v>36</v>
      </c>
      <c r="B19" s="18">
        <v>113121</v>
      </c>
    </row>
    <row r="20" spans="1:2" x14ac:dyDescent="0.3">
      <c r="A20" s="16" t="s">
        <v>37</v>
      </c>
      <c r="B20" s="18">
        <v>117240</v>
      </c>
    </row>
    <row r="21" spans="1:2" x14ac:dyDescent="0.3">
      <c r="A21" s="16" t="s">
        <v>38</v>
      </c>
      <c r="B21" s="18">
        <v>117545</v>
      </c>
    </row>
    <row r="22" spans="1:2" x14ac:dyDescent="0.3">
      <c r="A22" s="16" t="s">
        <v>39</v>
      </c>
      <c r="B22" s="18">
        <v>114472</v>
      </c>
    </row>
    <row r="23" spans="1:2" x14ac:dyDescent="0.3">
      <c r="A23" s="16" t="s">
        <v>40</v>
      </c>
      <c r="B23" s="18">
        <v>114462</v>
      </c>
    </row>
    <row r="24" spans="1:2" x14ac:dyDescent="0.3">
      <c r="A24" s="16" t="s">
        <v>41</v>
      </c>
      <c r="B24" s="18">
        <v>121678</v>
      </c>
    </row>
    <row r="25" spans="1:2" x14ac:dyDescent="0.3">
      <c r="A25" s="16" t="s">
        <v>42</v>
      </c>
      <c r="B25" s="18">
        <v>124990</v>
      </c>
    </row>
    <row r="26" spans="1:2" x14ac:dyDescent="0.3">
      <c r="A26" s="16" t="s">
        <v>43</v>
      </c>
      <c r="B26" s="18">
        <v>115698</v>
      </c>
    </row>
    <row r="27" spans="1:2" x14ac:dyDescent="0.3">
      <c r="A27" s="16" t="s">
        <v>44</v>
      </c>
      <c r="B27" s="18">
        <v>118914</v>
      </c>
    </row>
    <row r="28" spans="1:2" x14ac:dyDescent="0.3">
      <c r="A28" s="16" t="s">
        <v>45</v>
      </c>
      <c r="B28" s="18">
        <v>119004</v>
      </c>
    </row>
    <row r="29" spans="1:2" x14ac:dyDescent="0.3">
      <c r="A29" s="16" t="s">
        <v>46</v>
      </c>
      <c r="B29" s="18">
        <v>123954</v>
      </c>
    </row>
    <row r="30" spans="1:2" x14ac:dyDescent="0.3">
      <c r="A30" s="16" t="s">
        <v>47</v>
      </c>
      <c r="B30" s="18">
        <v>126494</v>
      </c>
    </row>
    <row r="31" spans="1:2" x14ac:dyDescent="0.3">
      <c r="A31" s="16" t="s">
        <v>48</v>
      </c>
      <c r="B31" s="18">
        <v>131204</v>
      </c>
    </row>
    <row r="32" spans="1:2" x14ac:dyDescent="0.3">
      <c r="A32" s="16" t="s">
        <v>49</v>
      </c>
      <c r="B32" s="18">
        <v>132859</v>
      </c>
    </row>
    <row r="33" spans="1:2" x14ac:dyDescent="0.3">
      <c r="A33" s="16" t="s">
        <v>50</v>
      </c>
      <c r="B33" s="18">
        <v>133709</v>
      </c>
    </row>
    <row r="34" spans="1:2" x14ac:dyDescent="0.3">
      <c r="A34" s="16" t="s">
        <v>51</v>
      </c>
      <c r="B34" s="18">
        <v>130755</v>
      </c>
    </row>
    <row r="35" spans="1:2" x14ac:dyDescent="0.3">
      <c r="A35" s="16" t="s">
        <v>52</v>
      </c>
      <c r="B35" s="18">
        <v>129440</v>
      </c>
    </row>
    <row r="36" spans="1:2" x14ac:dyDescent="0.3">
      <c r="A36" s="16" t="s">
        <v>53</v>
      </c>
      <c r="B36" s="18">
        <v>135696</v>
      </c>
    </row>
    <row r="37" spans="1:2" x14ac:dyDescent="0.3">
      <c r="A37" s="16" t="s">
        <v>54</v>
      </c>
      <c r="B37" s="18">
        <v>136566</v>
      </c>
    </row>
    <row r="38" spans="1:2" x14ac:dyDescent="0.3">
      <c r="A38" s="16" t="s">
        <v>55</v>
      </c>
      <c r="B38" s="18">
        <v>136640</v>
      </c>
    </row>
    <row r="39" spans="1:2" x14ac:dyDescent="0.3">
      <c r="A39" s="16" t="s">
        <v>56</v>
      </c>
      <c r="B39" s="18">
        <v>133780</v>
      </c>
    </row>
    <row r="40" spans="1:2" x14ac:dyDescent="0.3">
      <c r="A40" s="16" t="s">
        <v>57</v>
      </c>
      <c r="B40" s="18">
        <v>134630</v>
      </c>
    </row>
    <row r="41" spans="1:2" x14ac:dyDescent="0.3">
      <c r="A41" s="16" t="s">
        <v>58</v>
      </c>
      <c r="B41" s="18">
        <v>135397</v>
      </c>
    </row>
    <row r="42" spans="1:2" x14ac:dyDescent="0.3">
      <c r="A42" s="16" t="s">
        <v>59</v>
      </c>
      <c r="B42" s="18">
        <v>138166</v>
      </c>
    </row>
    <row r="43" spans="1:2" x14ac:dyDescent="0.3">
      <c r="A43" s="16" t="s">
        <v>60</v>
      </c>
      <c r="B43" s="18">
        <v>144659</v>
      </c>
    </row>
    <row r="44" spans="1:2" x14ac:dyDescent="0.3">
      <c r="A44" s="16" t="s">
        <v>61</v>
      </c>
      <c r="B44" s="18">
        <v>144896</v>
      </c>
    </row>
    <row r="45" spans="1:2" x14ac:dyDescent="0.3">
      <c r="A45" s="16" t="s">
        <v>62</v>
      </c>
      <c r="B45" s="18">
        <v>148857</v>
      </c>
    </row>
    <row r="46" spans="1:2" x14ac:dyDescent="0.3">
      <c r="A46" s="16" t="s">
        <v>63</v>
      </c>
      <c r="B46" s="18">
        <v>144603</v>
      </c>
    </row>
    <row r="47" spans="1:2" x14ac:dyDescent="0.3">
      <c r="A47" s="16" t="s">
        <v>64</v>
      </c>
      <c r="B47" s="18">
        <v>144497</v>
      </c>
    </row>
    <row r="48" spans="1:2" x14ac:dyDescent="0.3">
      <c r="A48" s="16" t="s">
        <v>65</v>
      </c>
      <c r="B48" s="18">
        <v>146070</v>
      </c>
    </row>
    <row r="49" spans="1:2" x14ac:dyDescent="0.3">
      <c r="A49" s="16" t="s">
        <v>66</v>
      </c>
      <c r="B49" s="18">
        <v>154181</v>
      </c>
    </row>
    <row r="50" spans="1:2" x14ac:dyDescent="0.3">
      <c r="A50" s="16" t="s">
        <v>67</v>
      </c>
      <c r="B50" s="18">
        <v>144519</v>
      </c>
    </row>
    <row r="51" spans="1:2" x14ac:dyDescent="0.3">
      <c r="A51" s="16" t="s">
        <v>68</v>
      </c>
      <c r="B51" s="18">
        <v>151971</v>
      </c>
    </row>
    <row r="52" spans="1:2" x14ac:dyDescent="0.3">
      <c r="A52" s="16" t="s">
        <v>69</v>
      </c>
      <c r="B52" s="18">
        <v>150102</v>
      </c>
    </row>
    <row r="53" spans="1:2" x14ac:dyDescent="0.3">
      <c r="A53" s="16" t="s">
        <v>70</v>
      </c>
      <c r="B53" s="18">
        <v>150294</v>
      </c>
    </row>
    <row r="54" spans="1:2" x14ac:dyDescent="0.3">
      <c r="A54" s="16" t="s">
        <v>71</v>
      </c>
      <c r="B54" s="18">
        <v>153369</v>
      </c>
    </row>
    <row r="55" spans="1:2" x14ac:dyDescent="0.3">
      <c r="A55" s="16" t="s">
        <v>72</v>
      </c>
      <c r="B55" s="18">
        <v>157632</v>
      </c>
    </row>
    <row r="56" spans="1:2" x14ac:dyDescent="0.3">
      <c r="A56" s="16" t="s">
        <v>73</v>
      </c>
      <c r="B56" s="18">
        <v>158664</v>
      </c>
    </row>
    <row r="57" spans="1:2" x14ac:dyDescent="0.3">
      <c r="A57" s="16" t="s">
        <v>74</v>
      </c>
      <c r="B57" s="18">
        <v>157602</v>
      </c>
    </row>
    <row r="58" spans="1:2" x14ac:dyDescent="0.3">
      <c r="A58" s="16" t="s">
        <v>75</v>
      </c>
      <c r="B58" s="18">
        <v>158864</v>
      </c>
    </row>
    <row r="59" spans="1:2" x14ac:dyDescent="0.3">
      <c r="A59" s="16" t="s">
        <v>76</v>
      </c>
      <c r="B59" s="18">
        <v>160030</v>
      </c>
    </row>
    <row r="60" spans="1:2" x14ac:dyDescent="0.3">
      <c r="A60" s="16" t="s">
        <v>77</v>
      </c>
      <c r="B60" s="18">
        <v>163789</v>
      </c>
    </row>
    <row r="61" spans="1:2" x14ac:dyDescent="0.3">
      <c r="A61" s="16" t="s">
        <v>78</v>
      </c>
      <c r="B61" s="18">
        <v>171561</v>
      </c>
    </row>
    <row r="63" spans="1:2" x14ac:dyDescent="0.3">
      <c r="A63" s="16" t="s">
        <v>144</v>
      </c>
      <c r="B63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Regression Diagnostics</vt:lpstr>
      <vt:lpstr>data</vt:lpstr>
      <vt:lpstr>Simple Regression</vt:lpstr>
      <vt:lpstr>Multiple Regression</vt:lpstr>
      <vt:lpstr>Hypothesis Testing</vt:lpstr>
      <vt:lpstr>Ab-Testing</vt:lpstr>
      <vt:lpstr>Anova</vt:lpstr>
      <vt:lpstr>Charts</vt:lpstr>
      <vt:lpstr>Monthly_Sales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Ziyoda Usmonjonova</cp:lastModifiedBy>
  <dcterms:created xsi:type="dcterms:W3CDTF">2026-06-04T05:44:44Z</dcterms:created>
  <dcterms:modified xsi:type="dcterms:W3CDTF">2026-06-06T12:09:44Z</dcterms:modified>
</cp:coreProperties>
</file>